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Calc" sheetId="3" state="visible" r:id="rId5"/>
    <sheet name="Uniform stress" sheetId="4" state="visible" r:id="rId6"/>
    <sheet name="Single-name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<sst xmlns="http://schemas.openxmlformats.org/spreadsheetml/2006/main" count="136" uniqueCount="112">
  <si>
    <t xml:space="preserve">NAV facility stress model (formula version)</t>
  </si>
  <si>
    <t xml:space="preserve">Hypothetical inputs for illustration. Not observed market terms, not advice, and not any rating agency's methodology.</t>
  </si>
  <si>
    <t xml:space="preserve">What it does</t>
  </si>
  <si>
    <t xml:space="preserve">Computes eligible NAV after a single-asset cap and a top-N concentration limit, LTV, the status against the cash-sweep</t>
  </si>
  <si>
    <t xml:space="preserve">and breach levels, a diversity covenant, the uniform drawdown to each level, the cure to target, and the effect of</t>
  </si>
  <si>
    <t xml:space="preserve">writing off the largest assets. It reproduces the Python model in src/fundfinancelab/nav_facility.py.</t>
  </si>
  <si>
    <t xml:space="preserve">How to use</t>
  </si>
  <si>
    <t xml:space="preserve">Edit only the blue cells on Inputs (facility terms and up to 20 assets). Yellow marks the key assumptions.</t>
  </si>
  <si>
    <t xml:space="preserve">Leave Top-N count and share blank to switch that limit off; leave Minimum assets blank to switch the covenant off.</t>
  </si>
  <si>
    <t xml:space="preserve">Every other cell is a formula. Checks shows whether the workbook is internally consistent.</t>
  </si>
  <si>
    <t xml:space="preserve">Sheets</t>
  </si>
  <si>
    <t xml:space="preserve">Inputs - facility terms and portfolio. Calc - eligible NAV, LTV, status, headroom. Uniform stress - drawdown grid.</t>
  </si>
  <si>
    <t xml:space="preserve">Single-name - the largest 1, 2 and 3 assets written down by the loss on Inputs. Checks - consistency and Python cross-check.</t>
  </si>
  <si>
    <t xml:space="preserve">Method (see docs/model_spec.md)</t>
  </si>
  <si>
    <t xml:space="preserve">Single-asset cap: each asset counts up to cap x total NAV. Top-N limit: the N largest capped values count for at most</t>
  </si>
  <si>
    <t xml:space="preserve">share x the capped total; the excess is excluded. Each limit is measured against the aggregate before it is applied.</t>
  </si>
  <si>
    <t xml:space="preserve">A uniform drawdown d scales every NAV, cap and limit by (1 - d), so eligible NAV at d is eligible NAV x (1 - d).</t>
  </si>
  <si>
    <t xml:space="preserve">Status: breach if LTV &gt;= breach level; cash sweep if LTV &gt;= sweep level or the diversity covenant fails; else ok.</t>
  </si>
  <si>
    <t xml:space="preserve">Inputs (edit blue cells only)</t>
  </si>
  <si>
    <t xml:space="preserve">Facility terms</t>
  </si>
  <si>
    <t xml:space="preserve">Loan outstanding (USD m)</t>
  </si>
  <si>
    <t xml:space="preserve">Hypothetical</t>
  </si>
  <si>
    <t xml:space="preserve">Legend</t>
  </si>
  <si>
    <t xml:space="preserve">Cash-sweep LTV</t>
  </si>
  <si>
    <t xml:space="preserve">Sweep applies at or above this LTV</t>
  </si>
  <si>
    <t xml:space="preserve">Blue text = input</t>
  </si>
  <si>
    <t xml:space="preserve">Breach LTV</t>
  </si>
  <si>
    <t xml:space="preserve">Covenant breach at or above this LTV</t>
  </si>
  <si>
    <t xml:space="preserve">Yellow fill = key assumption</t>
  </si>
  <si>
    <t xml:space="preserve">Cure target LTV</t>
  </si>
  <si>
    <t xml:space="preserve">LTV the borrower must restore after a breach</t>
  </si>
  <si>
    <t xml:space="preserve">Source: examples/nav_facility_covenants_hypothetical.json (hypothetical)</t>
  </si>
  <si>
    <t xml:space="preserve">Single-asset cap (share of total NAV)</t>
  </si>
  <si>
    <t xml:space="preserve">Each asset counts up to this share</t>
  </si>
  <si>
    <t xml:space="preserve">Top-N count</t>
  </si>
  <si>
    <t xml:space="preserve">Blank = no top-N limit</t>
  </si>
  <si>
    <t xml:space="preserve">Top-N share of eligible NAV</t>
  </si>
  <si>
    <t xml:space="preserve">Minimum assets (diversity covenant)</t>
  </si>
  <si>
    <t xml:space="preserve">Blank = no covenant</t>
  </si>
  <si>
    <t xml:space="preserve">Single-name loss (share written off)</t>
  </si>
  <si>
    <t xml:space="preserve">Used on Single-name</t>
  </si>
  <si>
    <t xml:space="preserve">Portfolio (up to 20 assets; USD m; hypothetical)</t>
  </si>
  <si>
    <t xml:space="preserve">Asset</t>
  </si>
  <si>
    <t xml:space="preserve">NAV (USD m)</t>
  </si>
  <si>
    <t xml:space="preserve">Asset A</t>
  </si>
  <si>
    <t xml:space="preserve">Asset B</t>
  </si>
  <si>
    <t xml:space="preserve">Asset C</t>
  </si>
  <si>
    <t xml:space="preserve">Asset D</t>
  </si>
  <si>
    <t xml:space="preserve">Asset E</t>
  </si>
  <si>
    <t xml:space="preserve">Asset F</t>
  </si>
  <si>
    <t xml:space="preserve">Asset G</t>
  </si>
  <si>
    <t xml:space="preserve">Asset H</t>
  </si>
  <si>
    <t xml:space="preserve">Asset I</t>
  </si>
  <si>
    <t xml:space="preserve">Asset J</t>
  </si>
  <si>
    <t xml:space="preserve">Asset K</t>
  </si>
  <si>
    <t xml:space="preserve">Eligible NAV, LTV and status</t>
  </si>
  <si>
    <t xml:space="preserve">NAV</t>
  </si>
  <si>
    <t xml:space="preserve">NAV rank</t>
  </si>
  <si>
    <t xml:space="preserve">Capped NAV</t>
  </si>
  <si>
    <t xml:space="preserve">Capped rank</t>
  </si>
  <si>
    <t xml:space="preserve">In top N</t>
  </si>
  <si>
    <t xml:space="preserve">Total NAV</t>
  </si>
  <si>
    <t xml:space="preserve">Eligible NAV after single-asset cap</t>
  </si>
  <si>
    <t xml:space="preserve">Top-N capped total</t>
  </si>
  <si>
    <t xml:space="preserve">Excluded by top-N limit</t>
  </si>
  <si>
    <t xml:space="preserve">Eligible NAV</t>
  </si>
  <si>
    <t xml:space="preserve">Excluded by single-asset cap</t>
  </si>
  <si>
    <t xml:space="preserve">LTV</t>
  </si>
  <si>
    <t xml:space="preserve">Assets with value</t>
  </si>
  <si>
    <t xml:space="preserve">Diversity covenant met</t>
  </si>
  <si>
    <t xml:space="preserve">Status</t>
  </si>
  <si>
    <t xml:space="preserve">Uniform drawdown to cash-sweep level</t>
  </si>
  <si>
    <t xml:space="preserve">Uniform drawdown to breach level</t>
  </si>
  <si>
    <t xml:space="preserve">Cure to target (if in breach)</t>
  </si>
  <si>
    <t xml:space="preserve">NAV rank 999 marks an empty row. Ranks break ties by row order, as the Python model does.</t>
  </si>
  <si>
    <t xml:space="preserve">Uniform drawdowns</t>
  </si>
  <si>
    <t xml:space="preserve">Eligible NAV at drawdown d = eligible NAV x (1 - d): every NAV, cap and limit scales together.</t>
  </si>
  <si>
    <t xml:space="preserve">Drawdown</t>
  </si>
  <si>
    <t xml:space="preserve">Cure to target</t>
  </si>
  <si>
    <t xml:space="preserve">Largest assets written down</t>
  </si>
  <si>
    <t xml:space="preserve">Block k writes down the k largest assets (by NAV) by the loss on Inputs; limits are recomputed on the smaller portfolio.</t>
  </si>
  <si>
    <t xml:space="preserve">k = 1</t>
  </si>
  <si>
    <t xml:space="preserve">k = 2</t>
  </si>
  <si>
    <t xml:space="preserve">k = 3</t>
  </si>
  <si>
    <t xml:space="preserve">Stressed NAV</t>
  </si>
  <si>
    <t xml:space="preserve">Capped</t>
  </si>
  <si>
    <t xml:space="preserve">Rank</t>
  </si>
  <si>
    <t xml:space="preserve">Top N</t>
  </si>
  <si>
    <t xml:space="preserve">Eligible after single-asset cap</t>
  </si>
  <si>
    <t xml:space="preserve">Further uniform drawdown to breach</t>
  </si>
  <si>
    <t xml:space="preserve">Checks</t>
  </si>
  <si>
    <t xml:space="preserve">Internal consistency (must all be TRUE)</t>
  </si>
  <si>
    <t xml:space="preserve">Cure target &lt;= sweep level &lt;= breach level &lt; 100%</t>
  </si>
  <si>
    <t xml:space="preserve">No negative NAVs</t>
  </si>
  <si>
    <t xml:space="preserve">Eligible NAV &lt;= total NAV</t>
  </si>
  <si>
    <t xml:space="preserve">Capped ranks are 1..20 with no ties</t>
  </si>
  <si>
    <t xml:space="preserve">LTV at the breakeven drawdown equals the breach level</t>
  </si>
  <si>
    <t xml:space="preserve">Top-N exclusion is not negative</t>
  </si>
  <si>
    <t xml:space="preserve">Overall</t>
  </si>
  <si>
    <t xml:space="preserve">Cross-check against the Python model (shipped inputs only)</t>
  </si>
  <si>
    <t xml:space="preserve">Reference values from: fund-finance-lab nav --config examples/nav_facility_covenants_hypothetical.json. They are expected to differ once inputs change.</t>
  </si>
  <si>
    <t xml:space="preserve">Metric</t>
  </si>
  <si>
    <t xml:space="preserve">Python</t>
  </si>
  <si>
    <t xml:space="preserve">Workbook</t>
  </si>
  <si>
    <t xml:space="preserve">Match</t>
  </si>
  <si>
    <t xml:space="preserve">Uniform drawdown to sweep</t>
  </si>
  <si>
    <t xml:space="preserve">Uniform drawdown to breach</t>
  </si>
  <si>
    <t xml:space="preserve">Eligible NAV, largest asset written off</t>
  </si>
  <si>
    <t xml:space="preserve">Eligible NAV, two largest written off</t>
  </si>
  <si>
    <t xml:space="preserve">Eligible NAV, three largest written off</t>
  </si>
  <si>
    <t xml:space="preserve">Status at base</t>
  </si>
  <si>
    <t xml:space="preserve">ok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</si>
</sst>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%"/>
    <numFmt numFmtId="167" formatCode="0"/>
    <numFmt numFmtId="168" formatCode="General"/>
    <numFmt numFmtId="169" formatCode="0.00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18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2" t="s">
        <v>19</v>
      </c>
      <c r="C3" s="4"/>
      <c r="D3" s="4"/>
      <c r="E3" s="4"/>
      <c r="F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</row>
    <row r="5" customFormat="false" ht="15" hidden="false" customHeight="false" outlineLevel="0" collapsed="false">
      <c r="A5" s="4"/>
      <c r="B5" s="3" t="s">
        <v>20</v>
      </c>
      <c r="C5" s="5" t="n">
        <v>150</v>
      </c>
      <c r="D5" s="3" t="s">
        <v>21</v>
      </c>
      <c r="E5" s="4"/>
      <c r="F5" s="2" t="s">
        <v>22</v>
      </c>
    </row>
    <row r="6" customFormat="false" ht="15" hidden="false" customHeight="false" outlineLevel="0" collapsed="false">
      <c r="A6" s="4"/>
      <c r="B6" s="3" t="s">
        <v>23</v>
      </c>
      <c r="C6" s="6" t="n">
        <v>0.2</v>
      </c>
      <c r="D6" s="3" t="s">
        <v>24</v>
      </c>
      <c r="E6" s="4"/>
      <c r="F6" s="7" t="s">
        <v>25</v>
      </c>
    </row>
    <row r="7" customFormat="false" ht="15" hidden="false" customHeight="false" outlineLevel="0" collapsed="false">
      <c r="A7" s="4"/>
      <c r="B7" s="3" t="s">
        <v>26</v>
      </c>
      <c r="C7" s="6" t="n">
        <v>0.25</v>
      </c>
      <c r="D7" s="3" t="s">
        <v>27</v>
      </c>
      <c r="E7" s="4"/>
      <c r="F7" s="8" t="s">
        <v>28</v>
      </c>
    </row>
    <row r="8" customFormat="false" ht="15" hidden="false" customHeight="false" outlineLevel="0" collapsed="false">
      <c r="A8" s="4"/>
      <c r="B8" s="3" t="s">
        <v>29</v>
      </c>
      <c r="C8" s="9" t="n">
        <v>0.15</v>
      </c>
      <c r="D8" s="3" t="s">
        <v>30</v>
      </c>
      <c r="E8" s="4"/>
      <c r="F8" s="3" t="s">
        <v>31</v>
      </c>
    </row>
    <row r="9" customFormat="false" ht="15" hidden="false" customHeight="false" outlineLevel="0" collapsed="false">
      <c r="A9" s="4"/>
      <c r="B9" s="3" t="s">
        <v>32</v>
      </c>
      <c r="C9" s="6" t="n">
        <v>0.2</v>
      </c>
      <c r="D9" s="3" t="s">
        <v>33</v>
      </c>
      <c r="E9" s="4"/>
      <c r="F9" s="4"/>
    </row>
    <row r="10" customFormat="false" ht="15" hidden="false" customHeight="false" outlineLevel="0" collapsed="false">
      <c r="A10" s="4"/>
      <c r="B10" s="3" t="s">
        <v>34</v>
      </c>
      <c r="C10" s="10" t="n">
        <v>5</v>
      </c>
      <c r="D10" s="3" t="s">
        <v>35</v>
      </c>
      <c r="E10" s="4"/>
      <c r="F10" s="4"/>
    </row>
    <row r="11" customFormat="false" ht="15" hidden="false" customHeight="false" outlineLevel="0" collapsed="false">
      <c r="A11" s="4"/>
      <c r="B11" s="3" t="s">
        <v>36</v>
      </c>
      <c r="C11" s="6" t="n">
        <v>0.6</v>
      </c>
      <c r="D11" s="3" t="s">
        <v>35</v>
      </c>
      <c r="E11" s="4"/>
      <c r="F11" s="4"/>
    </row>
    <row r="12" customFormat="false" ht="15" hidden="false" customHeight="false" outlineLevel="0" collapsed="false">
      <c r="A12" s="4"/>
      <c r="B12" s="3" t="s">
        <v>37</v>
      </c>
      <c r="C12" s="10" t="n">
        <v>10</v>
      </c>
      <c r="D12" s="3" t="s">
        <v>38</v>
      </c>
      <c r="E12" s="4"/>
      <c r="F12" s="4"/>
    </row>
    <row r="13" customFormat="false" ht="15" hidden="false" customHeight="false" outlineLevel="0" collapsed="false">
      <c r="A13" s="4"/>
      <c r="B13" s="3" t="s">
        <v>39</v>
      </c>
      <c r="C13" s="9" t="n">
        <v>1</v>
      </c>
      <c r="D13" s="3" t="s">
        <v>40</v>
      </c>
      <c r="E13" s="4"/>
      <c r="F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</row>
    <row r="15" customFormat="false" ht="15" hidden="false" customHeight="false" outlineLevel="0" collapsed="false">
      <c r="A15" s="4"/>
      <c r="B15" s="2" t="s">
        <v>41</v>
      </c>
      <c r="C15" s="4"/>
      <c r="D15" s="4"/>
      <c r="E15" s="4"/>
      <c r="F15" s="4"/>
    </row>
    <row r="16" customFormat="false" ht="15" hidden="false" customHeight="false" outlineLevel="0" collapsed="false">
      <c r="A16" s="4"/>
      <c r="B16" s="2" t="s">
        <v>42</v>
      </c>
      <c r="C16" s="2" t="s">
        <v>43</v>
      </c>
      <c r="D16" s="4"/>
      <c r="E16" s="4"/>
      <c r="F16" s="4"/>
    </row>
    <row r="17" customFormat="false" ht="15" hidden="false" customHeight="false" outlineLevel="0" collapsed="false">
      <c r="A17" s="4"/>
      <c r="B17" s="7" t="s">
        <v>44</v>
      </c>
      <c r="C17" s="11" t="n">
        <v>240</v>
      </c>
      <c r="D17" s="4"/>
      <c r="E17" s="4"/>
      <c r="F17" s="4"/>
    </row>
    <row r="18" customFormat="false" ht="15" hidden="false" customHeight="false" outlineLevel="0" collapsed="false">
      <c r="A18" s="4"/>
      <c r="B18" s="7" t="s">
        <v>45</v>
      </c>
      <c r="C18" s="11" t="n">
        <v>150</v>
      </c>
      <c r="D18" s="4"/>
      <c r="E18" s="4"/>
      <c r="F18" s="4"/>
    </row>
    <row r="19" customFormat="false" ht="15" hidden="false" customHeight="false" outlineLevel="0" collapsed="false">
      <c r="A19" s="4"/>
      <c r="B19" s="7" t="s">
        <v>46</v>
      </c>
      <c r="C19" s="11" t="n">
        <v>120</v>
      </c>
      <c r="D19" s="4"/>
      <c r="E19" s="4"/>
      <c r="F19" s="4"/>
    </row>
    <row r="20" customFormat="false" ht="15" hidden="false" customHeight="false" outlineLevel="0" collapsed="false">
      <c r="A20" s="4"/>
      <c r="B20" s="7" t="s">
        <v>47</v>
      </c>
      <c r="C20" s="11" t="n">
        <v>100</v>
      </c>
      <c r="D20" s="4"/>
      <c r="E20" s="4"/>
      <c r="F20" s="4"/>
    </row>
    <row r="21" customFormat="false" ht="15" hidden="false" customHeight="false" outlineLevel="0" collapsed="false">
      <c r="A21" s="4"/>
      <c r="B21" s="7" t="s">
        <v>48</v>
      </c>
      <c r="C21" s="11" t="n">
        <v>90</v>
      </c>
      <c r="D21" s="4"/>
      <c r="E21" s="4"/>
      <c r="F21" s="4"/>
    </row>
    <row r="22" customFormat="false" ht="15" hidden="false" customHeight="false" outlineLevel="0" collapsed="false">
      <c r="A22" s="4"/>
      <c r="B22" s="7" t="s">
        <v>49</v>
      </c>
      <c r="C22" s="11" t="n">
        <v>80</v>
      </c>
      <c r="D22" s="4"/>
      <c r="E22" s="4"/>
      <c r="F22" s="4"/>
    </row>
    <row r="23" customFormat="false" ht="15" hidden="false" customHeight="false" outlineLevel="0" collapsed="false">
      <c r="A23" s="4"/>
      <c r="B23" s="7" t="s">
        <v>50</v>
      </c>
      <c r="C23" s="11" t="n">
        <v>70</v>
      </c>
      <c r="D23" s="4"/>
      <c r="E23" s="4"/>
      <c r="F23" s="4"/>
    </row>
    <row r="24" customFormat="false" ht="15" hidden="false" customHeight="false" outlineLevel="0" collapsed="false">
      <c r="A24" s="4"/>
      <c r="B24" s="7" t="s">
        <v>51</v>
      </c>
      <c r="C24" s="11" t="n">
        <v>60</v>
      </c>
      <c r="D24" s="4"/>
      <c r="E24" s="4"/>
      <c r="F24" s="4"/>
    </row>
    <row r="25" customFormat="false" ht="15" hidden="false" customHeight="false" outlineLevel="0" collapsed="false">
      <c r="A25" s="4"/>
      <c r="B25" s="7" t="s">
        <v>52</v>
      </c>
      <c r="C25" s="11" t="n">
        <v>40</v>
      </c>
      <c r="D25" s="4"/>
      <c r="E25" s="4"/>
      <c r="F25" s="4"/>
    </row>
    <row r="26" customFormat="false" ht="15" hidden="false" customHeight="false" outlineLevel="0" collapsed="false">
      <c r="A26" s="4"/>
      <c r="B26" s="7" t="s">
        <v>53</v>
      </c>
      <c r="C26" s="11" t="n">
        <v>30</v>
      </c>
      <c r="D26" s="4"/>
      <c r="E26" s="4"/>
      <c r="F26" s="4"/>
    </row>
    <row r="27" customFormat="false" ht="15" hidden="false" customHeight="false" outlineLevel="0" collapsed="false">
      <c r="A27" s="4"/>
      <c r="B27" s="7" t="s">
        <v>54</v>
      </c>
      <c r="C27" s="11" t="n">
        <v>20</v>
      </c>
      <c r="D27" s="4"/>
      <c r="E27" s="4"/>
      <c r="F27" s="4"/>
    </row>
    <row r="28" customFormat="false" ht="15" hidden="false" customHeight="false" outlineLevel="0" collapsed="false">
      <c r="A28" s="4"/>
      <c r="B28" s="7"/>
      <c r="C28" s="11"/>
      <c r="D28" s="4"/>
      <c r="E28" s="4"/>
      <c r="F28" s="4"/>
    </row>
    <row r="29" customFormat="false" ht="15" hidden="false" customHeight="false" outlineLevel="0" collapsed="false">
      <c r="A29" s="4"/>
      <c r="B29" s="7"/>
      <c r="C29" s="11"/>
      <c r="D29" s="4"/>
      <c r="E29" s="4"/>
      <c r="F29" s="4"/>
    </row>
    <row r="30" customFormat="false" ht="15" hidden="false" customHeight="false" outlineLevel="0" collapsed="false">
      <c r="A30" s="4"/>
      <c r="B30" s="7"/>
      <c r="C30" s="11"/>
      <c r="D30" s="4"/>
      <c r="E30" s="4"/>
      <c r="F30" s="4"/>
    </row>
    <row r="31" customFormat="false" ht="15" hidden="false" customHeight="false" outlineLevel="0" collapsed="false">
      <c r="A31" s="4"/>
      <c r="B31" s="7"/>
      <c r="C31" s="11"/>
      <c r="D31" s="4"/>
      <c r="E31" s="4"/>
      <c r="F31" s="4"/>
    </row>
    <row r="32" customFormat="false" ht="15" hidden="false" customHeight="false" outlineLevel="0" collapsed="false">
      <c r="A32" s="4"/>
      <c r="B32" s="7"/>
      <c r="C32" s="11"/>
      <c r="D32" s="4"/>
      <c r="E32" s="4"/>
      <c r="F32" s="4"/>
    </row>
    <row r="33" customFormat="false" ht="15" hidden="false" customHeight="false" outlineLevel="0" collapsed="false">
      <c r="A33" s="4"/>
      <c r="B33" s="7"/>
      <c r="C33" s="11"/>
      <c r="D33" s="4"/>
      <c r="E33" s="4"/>
      <c r="F33" s="4"/>
    </row>
    <row r="34" customFormat="false" ht="15" hidden="false" customHeight="false" outlineLevel="0" collapsed="false">
      <c r="A34" s="4"/>
      <c r="B34" s="7"/>
      <c r="C34" s="11"/>
      <c r="D34" s="4"/>
      <c r="E34" s="4"/>
      <c r="F34" s="4"/>
    </row>
    <row r="35" customFormat="false" ht="15" hidden="false" customHeight="false" outlineLevel="0" collapsed="false">
      <c r="A35" s="4"/>
      <c r="B35" s="7"/>
      <c r="C35" s="11"/>
      <c r="D35" s="4"/>
      <c r="E35" s="4"/>
      <c r="F35" s="4"/>
    </row>
    <row r="36" customFormat="false" ht="15" hidden="false" customHeight="false" outlineLevel="0" collapsed="false">
      <c r="A36" s="4"/>
      <c r="B36" s="7"/>
      <c r="C36" s="11"/>
      <c r="D36" s="4"/>
      <c r="E36" s="4"/>
      <c r="F3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55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4"/>
      <c r="B16" s="2" t="s">
        <v>42</v>
      </c>
      <c r="C16" s="2" t="s">
        <v>56</v>
      </c>
      <c r="D16" s="2" t="s">
        <v>57</v>
      </c>
      <c r="E16" s="2" t="s">
        <v>58</v>
      </c>
      <c r="F16" s="2" t="s">
        <v>59</v>
      </c>
      <c r="G16" s="2" t="s">
        <v>60</v>
      </c>
    </row>
    <row r="17" customFormat="false" ht="15" hidden="false" customHeight="false" outlineLevel="0" collapsed="false">
      <c r="A17" s="4"/>
      <c r="B17" s="12" t="str">
        <f aca="false">IF(Inputs!B17="","",Inputs!B17)</f>
        <v>Asset A</v>
      </c>
      <c r="C17" s="13" t="n">
        <f aca="false">IF(ISNUMBER(Inputs!C17),Inputs!C17,0)</f>
        <v>240</v>
      </c>
      <c r="D17" s="14" t="n">
        <f aca="false">IF(C17&gt;0,RANK(C17,$C$17:$C$36,0)+COUNTIF(C$16:C16,C17),999)</f>
        <v>1</v>
      </c>
      <c r="E17" s="15" t="n">
        <f aca="false">MIN(C17,Inputs!$C$9*$C$38)</f>
        <v>200</v>
      </c>
      <c r="F17" s="14" t="n">
        <f aca="false">RANK(E17,$E$17:$E$36,0)+COUNTIF(E$16:E16,E17)</f>
        <v>1</v>
      </c>
      <c r="G17" s="14" t="n">
        <f aca="false">IF(AND(ISNUMBER(Inputs!$C$10),F17&lt;=Inputs!$C$10),1,0)</f>
        <v>1</v>
      </c>
    </row>
    <row r="18" customFormat="false" ht="15" hidden="false" customHeight="false" outlineLevel="0" collapsed="false">
      <c r="A18" s="4"/>
      <c r="B18" s="12" t="str">
        <f aca="false">IF(Inputs!B18="","",Inputs!B18)</f>
        <v>Asset B</v>
      </c>
      <c r="C18" s="13" t="n">
        <f aca="false">IF(ISNUMBER(Inputs!C18),Inputs!C18,0)</f>
        <v>150</v>
      </c>
      <c r="D18" s="14" t="n">
        <f aca="false">IF(C18&gt;0,RANK(C18,$C$17:$C$36,0)+COUNTIF(C$16:C17,C18),999)</f>
        <v>2</v>
      </c>
      <c r="E18" s="15" t="n">
        <f aca="false">MIN(C18,Inputs!$C$9*$C$38)</f>
        <v>150</v>
      </c>
      <c r="F18" s="14" t="n">
        <f aca="false">RANK(E18,$E$17:$E$36,0)+COUNTIF(E$16:E17,E18)</f>
        <v>2</v>
      </c>
      <c r="G18" s="14" t="n">
        <f aca="false">IF(AND(ISNUMBER(Inputs!$C$10),F18&lt;=Inputs!$C$10),1,0)</f>
        <v>1</v>
      </c>
    </row>
    <row r="19" customFormat="false" ht="15" hidden="false" customHeight="false" outlineLevel="0" collapsed="false">
      <c r="A19" s="4"/>
      <c r="B19" s="12" t="str">
        <f aca="false">IF(Inputs!B19="","",Inputs!B19)</f>
        <v>Asset C</v>
      </c>
      <c r="C19" s="13" t="n">
        <f aca="false">IF(ISNUMBER(Inputs!C19),Inputs!C19,0)</f>
        <v>120</v>
      </c>
      <c r="D19" s="14" t="n">
        <f aca="false">IF(C19&gt;0,RANK(C19,$C$17:$C$36,0)+COUNTIF(C$16:C18,C19),999)</f>
        <v>3</v>
      </c>
      <c r="E19" s="15" t="n">
        <f aca="false">MIN(C19,Inputs!$C$9*$C$38)</f>
        <v>120</v>
      </c>
      <c r="F19" s="14" t="n">
        <f aca="false">RANK(E19,$E$17:$E$36,0)+COUNTIF(E$16:E18,E19)</f>
        <v>3</v>
      </c>
      <c r="G19" s="14" t="n">
        <f aca="false">IF(AND(ISNUMBER(Inputs!$C$10),F19&lt;=Inputs!$C$10),1,0)</f>
        <v>1</v>
      </c>
    </row>
    <row r="20" customFormat="false" ht="15" hidden="false" customHeight="false" outlineLevel="0" collapsed="false">
      <c r="A20" s="4"/>
      <c r="B20" s="12" t="str">
        <f aca="false">IF(Inputs!B20="","",Inputs!B20)</f>
        <v>Asset D</v>
      </c>
      <c r="C20" s="13" t="n">
        <f aca="false">IF(ISNUMBER(Inputs!C20),Inputs!C20,0)</f>
        <v>100</v>
      </c>
      <c r="D20" s="14" t="n">
        <f aca="false">IF(C20&gt;0,RANK(C20,$C$17:$C$36,0)+COUNTIF(C$16:C19,C20),999)</f>
        <v>4</v>
      </c>
      <c r="E20" s="15" t="n">
        <f aca="false">MIN(C20,Inputs!$C$9*$C$38)</f>
        <v>100</v>
      </c>
      <c r="F20" s="14" t="n">
        <f aca="false">RANK(E20,$E$17:$E$36,0)+COUNTIF(E$16:E19,E20)</f>
        <v>4</v>
      </c>
      <c r="G20" s="14" t="n">
        <f aca="false">IF(AND(ISNUMBER(Inputs!$C$10),F20&lt;=Inputs!$C$10),1,0)</f>
        <v>1</v>
      </c>
    </row>
    <row r="21" customFormat="false" ht="15" hidden="false" customHeight="false" outlineLevel="0" collapsed="false">
      <c r="A21" s="4"/>
      <c r="B21" s="12" t="str">
        <f aca="false">IF(Inputs!B21="","",Inputs!B21)</f>
        <v>Asset E</v>
      </c>
      <c r="C21" s="13" t="n">
        <f aca="false">IF(ISNUMBER(Inputs!C21),Inputs!C21,0)</f>
        <v>90</v>
      </c>
      <c r="D21" s="14" t="n">
        <f aca="false">IF(C21&gt;0,RANK(C21,$C$17:$C$36,0)+COUNTIF(C$16:C20,C21),999)</f>
        <v>5</v>
      </c>
      <c r="E21" s="15" t="n">
        <f aca="false">MIN(C21,Inputs!$C$9*$C$38)</f>
        <v>90</v>
      </c>
      <c r="F21" s="14" t="n">
        <f aca="false">RANK(E21,$E$17:$E$36,0)+COUNTIF(E$16:E20,E21)</f>
        <v>5</v>
      </c>
      <c r="G21" s="14" t="n">
        <f aca="false">IF(AND(ISNUMBER(Inputs!$C$10),F21&lt;=Inputs!$C$10),1,0)</f>
        <v>1</v>
      </c>
    </row>
    <row r="22" customFormat="false" ht="15" hidden="false" customHeight="false" outlineLevel="0" collapsed="false">
      <c r="A22" s="4"/>
      <c r="B22" s="12" t="str">
        <f aca="false">IF(Inputs!B22="","",Inputs!B22)</f>
        <v>Asset F</v>
      </c>
      <c r="C22" s="13" t="n">
        <f aca="false">IF(ISNUMBER(Inputs!C22),Inputs!C22,0)</f>
        <v>80</v>
      </c>
      <c r="D22" s="14" t="n">
        <f aca="false">IF(C22&gt;0,RANK(C22,$C$17:$C$36,0)+COUNTIF(C$16:C21,C22),999)</f>
        <v>6</v>
      </c>
      <c r="E22" s="15" t="n">
        <f aca="false">MIN(C22,Inputs!$C$9*$C$38)</f>
        <v>80</v>
      </c>
      <c r="F22" s="14" t="n">
        <f aca="false">RANK(E22,$E$17:$E$36,0)+COUNTIF(E$16:E21,E22)</f>
        <v>6</v>
      </c>
      <c r="G22" s="14" t="n">
        <f aca="false">IF(AND(ISNUMBER(Inputs!$C$10),F22&lt;=Inputs!$C$10),1,0)</f>
        <v>0</v>
      </c>
    </row>
    <row r="23" customFormat="false" ht="15" hidden="false" customHeight="false" outlineLevel="0" collapsed="false">
      <c r="A23" s="4"/>
      <c r="B23" s="12" t="str">
        <f aca="false">IF(Inputs!B23="","",Inputs!B23)</f>
        <v>Asset G</v>
      </c>
      <c r="C23" s="13" t="n">
        <f aca="false">IF(ISNUMBER(Inputs!C23),Inputs!C23,0)</f>
        <v>70</v>
      </c>
      <c r="D23" s="14" t="n">
        <f aca="false">IF(C23&gt;0,RANK(C23,$C$17:$C$36,0)+COUNTIF(C$16:C22,C23),999)</f>
        <v>7</v>
      </c>
      <c r="E23" s="15" t="n">
        <f aca="false">MIN(C23,Inputs!$C$9*$C$38)</f>
        <v>70</v>
      </c>
      <c r="F23" s="14" t="n">
        <f aca="false">RANK(E23,$E$17:$E$36,0)+COUNTIF(E$16:E22,E23)</f>
        <v>7</v>
      </c>
      <c r="G23" s="14" t="n">
        <f aca="false">IF(AND(ISNUMBER(Inputs!$C$10),F23&lt;=Inputs!$C$10),1,0)</f>
        <v>0</v>
      </c>
    </row>
    <row r="24" customFormat="false" ht="15" hidden="false" customHeight="false" outlineLevel="0" collapsed="false">
      <c r="A24" s="4"/>
      <c r="B24" s="12" t="str">
        <f aca="false">IF(Inputs!B24="","",Inputs!B24)</f>
        <v>Asset H</v>
      </c>
      <c r="C24" s="13" t="n">
        <f aca="false">IF(ISNUMBER(Inputs!C24),Inputs!C24,0)</f>
        <v>60</v>
      </c>
      <c r="D24" s="14" t="n">
        <f aca="false">IF(C24&gt;0,RANK(C24,$C$17:$C$36,0)+COUNTIF(C$16:C23,C24),999)</f>
        <v>8</v>
      </c>
      <c r="E24" s="15" t="n">
        <f aca="false">MIN(C24,Inputs!$C$9*$C$38)</f>
        <v>60</v>
      </c>
      <c r="F24" s="14" t="n">
        <f aca="false">RANK(E24,$E$17:$E$36,0)+COUNTIF(E$16:E23,E24)</f>
        <v>8</v>
      </c>
      <c r="G24" s="14" t="n">
        <f aca="false">IF(AND(ISNUMBER(Inputs!$C$10),F24&lt;=Inputs!$C$10),1,0)</f>
        <v>0</v>
      </c>
    </row>
    <row r="25" customFormat="false" ht="15" hidden="false" customHeight="false" outlineLevel="0" collapsed="false">
      <c r="A25" s="4"/>
      <c r="B25" s="12" t="str">
        <f aca="false">IF(Inputs!B25="","",Inputs!B25)</f>
        <v>Asset I</v>
      </c>
      <c r="C25" s="13" t="n">
        <f aca="false">IF(ISNUMBER(Inputs!C25),Inputs!C25,0)</f>
        <v>40</v>
      </c>
      <c r="D25" s="14" t="n">
        <f aca="false">IF(C25&gt;0,RANK(C25,$C$17:$C$36,0)+COUNTIF(C$16:C24,C25),999)</f>
        <v>9</v>
      </c>
      <c r="E25" s="15" t="n">
        <f aca="false">MIN(C25,Inputs!$C$9*$C$38)</f>
        <v>40</v>
      </c>
      <c r="F25" s="14" t="n">
        <f aca="false">RANK(E25,$E$17:$E$36,0)+COUNTIF(E$16:E24,E25)</f>
        <v>9</v>
      </c>
      <c r="G25" s="14" t="n">
        <f aca="false">IF(AND(ISNUMBER(Inputs!$C$10),F25&lt;=Inputs!$C$10),1,0)</f>
        <v>0</v>
      </c>
    </row>
    <row r="26" customFormat="false" ht="15" hidden="false" customHeight="false" outlineLevel="0" collapsed="false">
      <c r="A26" s="4"/>
      <c r="B26" s="12" t="str">
        <f aca="false">IF(Inputs!B26="","",Inputs!B26)</f>
        <v>Asset J</v>
      </c>
      <c r="C26" s="13" t="n">
        <f aca="false">IF(ISNUMBER(Inputs!C26),Inputs!C26,0)</f>
        <v>30</v>
      </c>
      <c r="D26" s="14" t="n">
        <f aca="false">IF(C26&gt;0,RANK(C26,$C$17:$C$36,0)+COUNTIF(C$16:C25,C26),999)</f>
        <v>10</v>
      </c>
      <c r="E26" s="15" t="n">
        <f aca="false">MIN(C26,Inputs!$C$9*$C$38)</f>
        <v>30</v>
      </c>
      <c r="F26" s="14" t="n">
        <f aca="false">RANK(E26,$E$17:$E$36,0)+COUNTIF(E$16:E25,E26)</f>
        <v>10</v>
      </c>
      <c r="G26" s="14" t="n">
        <f aca="false">IF(AND(ISNUMBER(Inputs!$C$10),F26&lt;=Inputs!$C$10),1,0)</f>
        <v>0</v>
      </c>
    </row>
    <row r="27" customFormat="false" ht="15" hidden="false" customHeight="false" outlineLevel="0" collapsed="false">
      <c r="A27" s="4"/>
      <c r="B27" s="12" t="str">
        <f aca="false">IF(Inputs!B27="","",Inputs!B27)</f>
        <v>Asset K</v>
      </c>
      <c r="C27" s="13" t="n">
        <f aca="false">IF(ISNUMBER(Inputs!C27),Inputs!C27,0)</f>
        <v>20</v>
      </c>
      <c r="D27" s="14" t="n">
        <f aca="false">IF(C27&gt;0,RANK(C27,$C$17:$C$36,0)+COUNTIF(C$16:C26,C27),999)</f>
        <v>11</v>
      </c>
      <c r="E27" s="15" t="n">
        <f aca="false">MIN(C27,Inputs!$C$9*$C$38)</f>
        <v>20</v>
      </c>
      <c r="F27" s="14" t="n">
        <f aca="false">RANK(E27,$E$17:$E$36,0)+COUNTIF(E$16:E26,E27)</f>
        <v>11</v>
      </c>
      <c r="G27" s="14" t="n">
        <f aca="false">IF(AND(ISNUMBER(Inputs!$C$10),F27&lt;=Inputs!$C$10),1,0)</f>
        <v>0</v>
      </c>
    </row>
    <row r="28" customFormat="false" ht="15" hidden="false" customHeight="false" outlineLevel="0" collapsed="false">
      <c r="A28" s="4"/>
      <c r="B28" s="12" t="str">
        <f aca="false">IF(Inputs!B28="","",Inputs!B28)</f>
        <v/>
      </c>
      <c r="C28" s="13" t="n">
        <f aca="false">IF(ISNUMBER(Inputs!C28),Inputs!C28,0)</f>
        <v>0</v>
      </c>
      <c r="D28" s="14" t="n">
        <f aca="false">IF(C28&gt;0,RANK(C28,$C$17:$C$36,0)+COUNTIF(C$16:C27,C28),999)</f>
        <v>999</v>
      </c>
      <c r="E28" s="15" t="n">
        <f aca="false">MIN(C28,Inputs!$C$9*$C$38)</f>
        <v>0</v>
      </c>
      <c r="F28" s="14" t="n">
        <f aca="false">RANK(E28,$E$17:$E$36,0)+COUNTIF(E$16:E27,E28)</f>
        <v>12</v>
      </c>
      <c r="G28" s="14" t="n">
        <f aca="false">IF(AND(ISNUMBER(Inputs!$C$10),F28&lt;=Inputs!$C$10),1,0)</f>
        <v>0</v>
      </c>
    </row>
    <row r="29" customFormat="false" ht="15" hidden="false" customHeight="false" outlineLevel="0" collapsed="false">
      <c r="A29" s="4"/>
      <c r="B29" s="12" t="str">
        <f aca="false">IF(Inputs!B29="","",Inputs!B29)</f>
        <v/>
      </c>
      <c r="C29" s="13" t="n">
        <f aca="false">IF(ISNUMBER(Inputs!C29),Inputs!C29,0)</f>
        <v>0</v>
      </c>
      <c r="D29" s="14" t="n">
        <f aca="false">IF(C29&gt;0,RANK(C29,$C$17:$C$36,0)+COUNTIF(C$16:C28,C29),999)</f>
        <v>999</v>
      </c>
      <c r="E29" s="15" t="n">
        <f aca="false">MIN(C29,Inputs!$C$9*$C$38)</f>
        <v>0</v>
      </c>
      <c r="F29" s="14" t="n">
        <f aca="false">RANK(E29,$E$17:$E$36,0)+COUNTIF(E$16:E28,E29)</f>
        <v>13</v>
      </c>
      <c r="G29" s="14" t="n">
        <f aca="false">IF(AND(ISNUMBER(Inputs!$C$10),F29&lt;=Inputs!$C$10),1,0)</f>
        <v>0</v>
      </c>
    </row>
    <row r="30" customFormat="false" ht="15" hidden="false" customHeight="false" outlineLevel="0" collapsed="false">
      <c r="A30" s="4"/>
      <c r="B30" s="12" t="str">
        <f aca="false">IF(Inputs!B30="","",Inputs!B30)</f>
        <v/>
      </c>
      <c r="C30" s="13" t="n">
        <f aca="false">IF(ISNUMBER(Inputs!C30),Inputs!C30,0)</f>
        <v>0</v>
      </c>
      <c r="D30" s="14" t="n">
        <f aca="false">IF(C30&gt;0,RANK(C30,$C$17:$C$36,0)+COUNTIF(C$16:C29,C30),999)</f>
        <v>999</v>
      </c>
      <c r="E30" s="15" t="n">
        <f aca="false">MIN(C30,Inputs!$C$9*$C$38)</f>
        <v>0</v>
      </c>
      <c r="F30" s="14" t="n">
        <f aca="false">RANK(E30,$E$17:$E$36,0)+COUNTIF(E$16:E29,E30)</f>
        <v>14</v>
      </c>
      <c r="G30" s="14" t="n">
        <f aca="false">IF(AND(ISNUMBER(Inputs!$C$10),F30&lt;=Inputs!$C$10),1,0)</f>
        <v>0</v>
      </c>
    </row>
    <row r="31" customFormat="false" ht="15" hidden="false" customHeight="false" outlineLevel="0" collapsed="false">
      <c r="A31" s="4"/>
      <c r="B31" s="12" t="str">
        <f aca="false">IF(Inputs!B31="","",Inputs!B31)</f>
        <v/>
      </c>
      <c r="C31" s="13" t="n">
        <f aca="false">IF(ISNUMBER(Inputs!C31),Inputs!C31,0)</f>
        <v>0</v>
      </c>
      <c r="D31" s="14" t="n">
        <f aca="false">IF(C31&gt;0,RANK(C31,$C$17:$C$36,0)+COUNTIF(C$16:C30,C31),999)</f>
        <v>999</v>
      </c>
      <c r="E31" s="15" t="n">
        <f aca="false">MIN(C31,Inputs!$C$9*$C$38)</f>
        <v>0</v>
      </c>
      <c r="F31" s="14" t="n">
        <f aca="false">RANK(E31,$E$17:$E$36,0)+COUNTIF(E$16:E30,E31)</f>
        <v>15</v>
      </c>
      <c r="G31" s="14" t="n">
        <f aca="false">IF(AND(ISNUMBER(Inputs!$C$10),F31&lt;=Inputs!$C$10),1,0)</f>
        <v>0</v>
      </c>
    </row>
    <row r="32" customFormat="false" ht="15" hidden="false" customHeight="false" outlineLevel="0" collapsed="false">
      <c r="A32" s="4"/>
      <c r="B32" s="12" t="str">
        <f aca="false">IF(Inputs!B32="","",Inputs!B32)</f>
        <v/>
      </c>
      <c r="C32" s="13" t="n">
        <f aca="false">IF(ISNUMBER(Inputs!C32),Inputs!C32,0)</f>
        <v>0</v>
      </c>
      <c r="D32" s="14" t="n">
        <f aca="false">IF(C32&gt;0,RANK(C32,$C$17:$C$36,0)+COUNTIF(C$16:C31,C32),999)</f>
        <v>999</v>
      </c>
      <c r="E32" s="15" t="n">
        <f aca="false">MIN(C32,Inputs!$C$9*$C$38)</f>
        <v>0</v>
      </c>
      <c r="F32" s="14" t="n">
        <f aca="false">RANK(E32,$E$17:$E$36,0)+COUNTIF(E$16:E31,E32)</f>
        <v>16</v>
      </c>
      <c r="G32" s="14" t="n">
        <f aca="false">IF(AND(ISNUMBER(Inputs!$C$10),F32&lt;=Inputs!$C$10),1,0)</f>
        <v>0</v>
      </c>
    </row>
    <row r="33" customFormat="false" ht="15" hidden="false" customHeight="false" outlineLevel="0" collapsed="false">
      <c r="A33" s="4"/>
      <c r="B33" s="12" t="str">
        <f aca="false">IF(Inputs!B33="","",Inputs!B33)</f>
        <v/>
      </c>
      <c r="C33" s="13" t="n">
        <f aca="false">IF(ISNUMBER(Inputs!C33),Inputs!C33,0)</f>
        <v>0</v>
      </c>
      <c r="D33" s="14" t="n">
        <f aca="false">IF(C33&gt;0,RANK(C33,$C$17:$C$36,0)+COUNTIF(C$16:C32,C33),999)</f>
        <v>999</v>
      </c>
      <c r="E33" s="15" t="n">
        <f aca="false">MIN(C33,Inputs!$C$9*$C$38)</f>
        <v>0</v>
      </c>
      <c r="F33" s="14" t="n">
        <f aca="false">RANK(E33,$E$17:$E$36,0)+COUNTIF(E$16:E32,E33)</f>
        <v>17</v>
      </c>
      <c r="G33" s="14" t="n">
        <f aca="false">IF(AND(ISNUMBER(Inputs!$C$10),F33&lt;=Inputs!$C$10),1,0)</f>
        <v>0</v>
      </c>
    </row>
    <row r="34" customFormat="false" ht="15" hidden="false" customHeight="false" outlineLevel="0" collapsed="false">
      <c r="A34" s="4"/>
      <c r="B34" s="12" t="str">
        <f aca="false">IF(Inputs!B34="","",Inputs!B34)</f>
        <v/>
      </c>
      <c r="C34" s="13" t="n">
        <f aca="false">IF(ISNUMBER(Inputs!C34),Inputs!C34,0)</f>
        <v>0</v>
      </c>
      <c r="D34" s="14" t="n">
        <f aca="false">IF(C34&gt;0,RANK(C34,$C$17:$C$36,0)+COUNTIF(C$16:C33,C34),999)</f>
        <v>999</v>
      </c>
      <c r="E34" s="15" t="n">
        <f aca="false">MIN(C34,Inputs!$C$9*$C$38)</f>
        <v>0</v>
      </c>
      <c r="F34" s="14" t="n">
        <f aca="false">RANK(E34,$E$17:$E$36,0)+COUNTIF(E$16:E33,E34)</f>
        <v>18</v>
      </c>
      <c r="G34" s="14" t="n">
        <f aca="false">IF(AND(ISNUMBER(Inputs!$C$10),F34&lt;=Inputs!$C$10),1,0)</f>
        <v>0</v>
      </c>
    </row>
    <row r="35" customFormat="false" ht="15" hidden="false" customHeight="false" outlineLevel="0" collapsed="false">
      <c r="A35" s="4"/>
      <c r="B35" s="12" t="str">
        <f aca="false">IF(Inputs!B35="","",Inputs!B35)</f>
        <v/>
      </c>
      <c r="C35" s="13" t="n">
        <f aca="false">IF(ISNUMBER(Inputs!C35),Inputs!C35,0)</f>
        <v>0</v>
      </c>
      <c r="D35" s="14" t="n">
        <f aca="false">IF(C35&gt;0,RANK(C35,$C$17:$C$36,0)+COUNTIF(C$16:C34,C35),999)</f>
        <v>999</v>
      </c>
      <c r="E35" s="15" t="n">
        <f aca="false">MIN(C35,Inputs!$C$9*$C$38)</f>
        <v>0</v>
      </c>
      <c r="F35" s="14" t="n">
        <f aca="false">RANK(E35,$E$17:$E$36,0)+COUNTIF(E$16:E34,E35)</f>
        <v>19</v>
      </c>
      <c r="G35" s="14" t="n">
        <f aca="false">IF(AND(ISNUMBER(Inputs!$C$10),F35&lt;=Inputs!$C$10),1,0)</f>
        <v>0</v>
      </c>
    </row>
    <row r="36" customFormat="false" ht="15" hidden="false" customHeight="false" outlineLevel="0" collapsed="false">
      <c r="A36" s="4"/>
      <c r="B36" s="12" t="str">
        <f aca="false">IF(Inputs!B36="","",Inputs!B36)</f>
        <v/>
      </c>
      <c r="C36" s="13" t="n">
        <f aca="false">IF(ISNUMBER(Inputs!C36),Inputs!C36,0)</f>
        <v>0</v>
      </c>
      <c r="D36" s="14" t="n">
        <f aca="false">IF(C36&gt;0,RANK(C36,$C$17:$C$36,0)+COUNTIF(C$16:C35,C36),999)</f>
        <v>999</v>
      </c>
      <c r="E36" s="15" t="n">
        <f aca="false">MIN(C36,Inputs!$C$9*$C$38)</f>
        <v>0</v>
      </c>
      <c r="F36" s="14" t="n">
        <f aca="false">RANK(E36,$E$17:$E$36,0)+COUNTIF(E$16:E35,E36)</f>
        <v>20</v>
      </c>
      <c r="G36" s="14" t="n">
        <f aca="false">IF(AND(ISNUMBER(Inputs!$C$10),F36&lt;=Inputs!$C$10),1,0)</f>
        <v>0</v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</row>
    <row r="38" customFormat="false" ht="15" hidden="false" customHeight="false" outlineLevel="0" collapsed="false">
      <c r="A38" s="4"/>
      <c r="B38" s="3" t="s">
        <v>61</v>
      </c>
      <c r="C38" s="15" t="n">
        <f aca="false">SUM(C17:C36)</f>
        <v>1000</v>
      </c>
      <c r="D38" s="4"/>
      <c r="E38" s="4"/>
      <c r="F38" s="4"/>
      <c r="G38" s="4"/>
    </row>
    <row r="39" customFormat="false" ht="15" hidden="false" customHeight="false" outlineLevel="0" collapsed="false">
      <c r="A39" s="4"/>
      <c r="B39" s="3" t="s">
        <v>62</v>
      </c>
      <c r="C39" s="15" t="n">
        <f aca="false">SUM(E17:E36)</f>
        <v>960</v>
      </c>
      <c r="D39" s="4"/>
      <c r="E39" s="4"/>
      <c r="F39" s="4"/>
      <c r="G39" s="4"/>
    </row>
    <row r="40" customFormat="false" ht="15" hidden="false" customHeight="false" outlineLevel="0" collapsed="false">
      <c r="A40" s="4"/>
      <c r="B40" s="3" t="s">
        <v>63</v>
      </c>
      <c r="C40" s="15" t="n">
        <f aca="false">SUMPRODUCT(E17:E36,G17:G36)</f>
        <v>660</v>
      </c>
      <c r="D40" s="4"/>
      <c r="E40" s="4"/>
      <c r="F40" s="4"/>
      <c r="G40" s="4"/>
    </row>
    <row r="41" customFormat="false" ht="15" hidden="false" customHeight="false" outlineLevel="0" collapsed="false">
      <c r="A41" s="4"/>
      <c r="B41" s="3" t="s">
        <v>64</v>
      </c>
      <c r="C41" s="15" t="n">
        <f aca="false">IF(AND(ISNUMBER(Inputs!C10),ISNUMBER(Inputs!C11)),MAX(0,C40-Inputs!C11*C39),0)</f>
        <v>84</v>
      </c>
      <c r="D41" s="4"/>
      <c r="E41" s="4"/>
      <c r="F41" s="4"/>
      <c r="G41" s="4"/>
    </row>
    <row r="42" customFormat="false" ht="15" hidden="false" customHeight="false" outlineLevel="0" collapsed="false">
      <c r="A42" s="4"/>
      <c r="B42" s="2" t="s">
        <v>65</v>
      </c>
      <c r="C42" s="15" t="n">
        <f aca="false">C39-C41</f>
        <v>876</v>
      </c>
      <c r="D42" s="4"/>
      <c r="E42" s="4"/>
      <c r="F42" s="4"/>
      <c r="G42" s="4"/>
    </row>
    <row r="43" customFormat="false" ht="15" hidden="false" customHeight="false" outlineLevel="0" collapsed="false">
      <c r="A43" s="4"/>
      <c r="B43" s="3" t="s">
        <v>66</v>
      </c>
      <c r="C43" s="15" t="n">
        <f aca="false">C38-C39</f>
        <v>40</v>
      </c>
      <c r="D43" s="4"/>
      <c r="E43" s="4"/>
      <c r="F43" s="4"/>
      <c r="G43" s="4"/>
    </row>
    <row r="44" customFormat="false" ht="15" hidden="false" customHeight="false" outlineLevel="0" collapsed="false">
      <c r="A44" s="4"/>
      <c r="B44" s="2" t="s">
        <v>67</v>
      </c>
      <c r="C44" s="16" t="n">
        <f aca="false">IF(C42&gt;0,Inputs!C5/C42,"n/a")</f>
        <v>0.171232876712329</v>
      </c>
      <c r="D44" s="4"/>
      <c r="E44" s="4"/>
      <c r="F44" s="4"/>
      <c r="G44" s="4"/>
    </row>
    <row r="45" customFormat="false" ht="15" hidden="false" customHeight="false" outlineLevel="0" collapsed="false">
      <c r="A45" s="4"/>
      <c r="B45" s="3" t="s">
        <v>68</v>
      </c>
      <c r="C45" s="14" t="n">
        <f aca="false">COUNTIF(C17:C36,"&gt;0")</f>
        <v>11</v>
      </c>
      <c r="D45" s="4"/>
      <c r="E45" s="4"/>
      <c r="F45" s="4"/>
      <c r="G45" s="4"/>
    </row>
    <row r="46" customFormat="false" ht="15" hidden="false" customHeight="false" outlineLevel="0" collapsed="false">
      <c r="A46" s="4"/>
      <c r="B46" s="3" t="s">
        <v>69</v>
      </c>
      <c r="C46" s="17" t="b">
        <f aca="false">IF(ISNUMBER(Inputs!C12),C45&gt;=Inputs!C12,TRUE())</f>
        <v>1</v>
      </c>
      <c r="D46" s="4"/>
      <c r="E46" s="4"/>
      <c r="F46" s="4"/>
      <c r="G46" s="4"/>
    </row>
    <row r="47" customFormat="false" ht="15" hidden="false" customHeight="false" outlineLevel="0" collapsed="false">
      <c r="A47" s="4"/>
      <c r="B47" s="2" t="s">
        <v>70</v>
      </c>
      <c r="C47" s="3" t="str">
        <f aca="false">IF(C44&gt;=Inputs!C7,"breach",IF(OR(C44&gt;=Inputs!C6,NOT(C46)),"cash sweep","ok"))</f>
        <v>ok</v>
      </c>
      <c r="D47" s="4"/>
      <c r="E47" s="4"/>
      <c r="F47" s="4"/>
      <c r="G47" s="4"/>
    </row>
    <row r="48" customFormat="false" ht="15" hidden="false" customHeight="false" outlineLevel="0" collapsed="false">
      <c r="A48" s="4"/>
      <c r="B48" s="3" t="s">
        <v>71</v>
      </c>
      <c r="C48" s="16" t="n">
        <f aca="false">MAX(0,1-Inputs!C5/(Inputs!C6*C42))</f>
        <v>0.143835616438356</v>
      </c>
      <c r="D48" s="4"/>
      <c r="E48" s="4"/>
      <c r="F48" s="4"/>
      <c r="G48" s="4"/>
    </row>
    <row r="49" customFormat="false" ht="15" hidden="false" customHeight="false" outlineLevel="0" collapsed="false">
      <c r="A49" s="4"/>
      <c r="B49" s="3" t="s">
        <v>72</v>
      </c>
      <c r="C49" s="16" t="n">
        <f aca="false">MAX(0,1-Inputs!C5/(Inputs!C7*C42))</f>
        <v>0.315068493150685</v>
      </c>
      <c r="D49" s="4"/>
      <c r="E49" s="4"/>
      <c r="F49" s="4"/>
      <c r="G49" s="4"/>
    </row>
    <row r="50" customFormat="false" ht="15" hidden="false" customHeight="false" outlineLevel="0" collapsed="false">
      <c r="A50" s="4"/>
      <c r="B50" s="3" t="s">
        <v>73</v>
      </c>
      <c r="C50" s="15" t="n">
        <f aca="false">IF(C44&gt;=Inputs!C7,Inputs!C5-Inputs!C8*C42,0)</f>
        <v>0</v>
      </c>
      <c r="D50" s="4"/>
      <c r="E50" s="4"/>
      <c r="F50" s="4"/>
      <c r="G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</row>
    <row r="52" customFormat="false" ht="15" hidden="false" customHeight="false" outlineLevel="0" collapsed="false">
      <c r="A52" s="4"/>
      <c r="B52" s="3" t="s">
        <v>74</v>
      </c>
      <c r="C52" s="4"/>
      <c r="D52" s="4"/>
      <c r="E52" s="4"/>
      <c r="F52" s="4"/>
      <c r="G5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75</v>
      </c>
      <c r="B1" s="4"/>
      <c r="C1" s="4"/>
      <c r="D1" s="4"/>
      <c r="E1" s="4"/>
    </row>
    <row r="2" customFormat="false" ht="1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3" t="s">
        <v>76</v>
      </c>
      <c r="B3" s="4"/>
      <c r="C3" s="4"/>
      <c r="D3" s="4"/>
      <c r="E3" s="4"/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15" hidden="false" customHeight="false" outlineLevel="0" collapsed="false">
      <c r="A5" s="2" t="s">
        <v>77</v>
      </c>
      <c r="B5" s="2" t="s">
        <v>65</v>
      </c>
      <c r="C5" s="2" t="s">
        <v>67</v>
      </c>
      <c r="D5" s="2" t="s">
        <v>70</v>
      </c>
      <c r="E5" s="2" t="s">
        <v>78</v>
      </c>
    </row>
    <row r="6" customFormat="false" ht="15" hidden="false" customHeight="false" outlineLevel="0" collapsed="false">
      <c r="A6" s="9" t="n">
        <v>0</v>
      </c>
      <c r="B6" s="13" t="n">
        <f aca="false">Calc!$C$42*(1-A6)</f>
        <v>876</v>
      </c>
      <c r="C6" s="16" t="n">
        <f aca="false">IF(B6&gt;0,Inputs!$C$5/B6,"n/a")</f>
        <v>0.171232876712329</v>
      </c>
      <c r="D6" s="3" t="str">
        <f aca="false">IF(C6&gt;=Inputs!$C$7,"breach",IF(OR(C6&gt;=Inputs!$C$6,NOT(Calc!$C$46)),"cash sweep","ok"))</f>
        <v>ok</v>
      </c>
      <c r="E6" s="15" t="n">
        <f aca="false">IF(C6&gt;=Inputs!$C$7,Inputs!$C$5-Inputs!$C$8*B6,0)</f>
        <v>0</v>
      </c>
    </row>
    <row r="7" customFormat="false" ht="15" hidden="false" customHeight="false" outlineLevel="0" collapsed="false">
      <c r="A7" s="9" t="n">
        <v>0.05</v>
      </c>
      <c r="B7" s="13" t="n">
        <f aca="false">Calc!$C$42*(1-A7)</f>
        <v>832.2</v>
      </c>
      <c r="C7" s="16" t="n">
        <f aca="false">IF(B7&gt;0,Inputs!$C$5/B7,"n/a")</f>
        <v>0.180245133381399</v>
      </c>
      <c r="D7" s="3" t="str">
        <f aca="false">IF(C7&gt;=Inputs!$C$7,"breach",IF(OR(C7&gt;=Inputs!$C$6,NOT(Calc!$C$46)),"cash sweep","ok"))</f>
        <v>ok</v>
      </c>
      <c r="E7" s="15" t="n">
        <f aca="false">IF(C7&gt;=Inputs!$C$7,Inputs!$C$5-Inputs!$C$8*B7,0)</f>
        <v>0</v>
      </c>
    </row>
    <row r="8" customFormat="false" ht="15" hidden="false" customHeight="false" outlineLevel="0" collapsed="false">
      <c r="A8" s="9" t="n">
        <v>0.1</v>
      </c>
      <c r="B8" s="13" t="n">
        <f aca="false">Calc!$C$42*(1-A8)</f>
        <v>788.4</v>
      </c>
      <c r="C8" s="16" t="n">
        <f aca="false">IF(B8&gt;0,Inputs!$C$5/B8,"n/a")</f>
        <v>0.190258751902588</v>
      </c>
      <c r="D8" s="3" t="str">
        <f aca="false">IF(C8&gt;=Inputs!$C$7,"breach",IF(OR(C8&gt;=Inputs!$C$6,NOT(Calc!$C$46)),"cash sweep","ok"))</f>
        <v>ok</v>
      </c>
      <c r="E8" s="15" t="n">
        <f aca="false">IF(C8&gt;=Inputs!$C$7,Inputs!$C$5-Inputs!$C$8*B8,0)</f>
        <v>0</v>
      </c>
    </row>
    <row r="9" customFormat="false" ht="15" hidden="false" customHeight="false" outlineLevel="0" collapsed="false">
      <c r="A9" s="9" t="n">
        <v>0.15</v>
      </c>
      <c r="B9" s="13" t="n">
        <f aca="false">Calc!$C$42*(1-A9)</f>
        <v>744.6</v>
      </c>
      <c r="C9" s="16" t="n">
        <f aca="false">IF(B9&gt;0,Inputs!$C$5/B9,"n/a")</f>
        <v>0.201450443190975</v>
      </c>
      <c r="D9" s="3" t="str">
        <f aca="false">IF(C9&gt;=Inputs!$C$7,"breach",IF(OR(C9&gt;=Inputs!$C$6,NOT(Calc!$C$46)),"cash sweep","ok"))</f>
        <v>cash sweep</v>
      </c>
      <c r="E9" s="15" t="n">
        <f aca="false">IF(C9&gt;=Inputs!$C$7,Inputs!$C$5-Inputs!$C$8*B9,0)</f>
        <v>0</v>
      </c>
    </row>
    <row r="10" customFormat="false" ht="15" hidden="false" customHeight="false" outlineLevel="0" collapsed="false">
      <c r="A10" s="9" t="n">
        <v>0.2</v>
      </c>
      <c r="B10" s="13" t="n">
        <f aca="false">Calc!$C$42*(1-A10)</f>
        <v>700.8</v>
      </c>
      <c r="C10" s="16" t="n">
        <f aca="false">IF(B10&gt;0,Inputs!$C$5/B10,"n/a")</f>
        <v>0.214041095890411</v>
      </c>
      <c r="D10" s="3" t="str">
        <f aca="false">IF(C10&gt;=Inputs!$C$7,"breach",IF(OR(C10&gt;=Inputs!$C$6,NOT(Calc!$C$46)),"cash sweep","ok"))</f>
        <v>cash sweep</v>
      </c>
      <c r="E10" s="15" t="n">
        <f aca="false">IF(C10&gt;=Inputs!$C$7,Inputs!$C$5-Inputs!$C$8*B10,0)</f>
        <v>0</v>
      </c>
    </row>
    <row r="11" customFormat="false" ht="15" hidden="false" customHeight="false" outlineLevel="0" collapsed="false">
      <c r="A11" s="9" t="n">
        <v>0.25</v>
      </c>
      <c r="B11" s="13" t="n">
        <f aca="false">Calc!$C$42*(1-A11)</f>
        <v>657</v>
      </c>
      <c r="C11" s="16" t="n">
        <f aca="false">IF(B11&gt;0,Inputs!$C$5/B11,"n/a")</f>
        <v>0.228310502283105</v>
      </c>
      <c r="D11" s="3" t="str">
        <f aca="false">IF(C11&gt;=Inputs!$C$7,"breach",IF(OR(C11&gt;=Inputs!$C$6,NOT(Calc!$C$46)),"cash sweep","ok"))</f>
        <v>cash sweep</v>
      </c>
      <c r="E11" s="15" t="n">
        <f aca="false">IF(C11&gt;=Inputs!$C$7,Inputs!$C$5-Inputs!$C$8*B11,0)</f>
        <v>0</v>
      </c>
    </row>
    <row r="12" customFormat="false" ht="15" hidden="false" customHeight="false" outlineLevel="0" collapsed="false">
      <c r="A12" s="9" t="n">
        <v>0.3</v>
      </c>
      <c r="B12" s="13" t="n">
        <f aca="false">Calc!$C$42*(1-A12)</f>
        <v>613.2</v>
      </c>
      <c r="C12" s="16" t="n">
        <f aca="false">IF(B12&gt;0,Inputs!$C$5/B12,"n/a")</f>
        <v>0.244618395303327</v>
      </c>
      <c r="D12" s="3" t="str">
        <f aca="false">IF(C12&gt;=Inputs!$C$7,"breach",IF(OR(C12&gt;=Inputs!$C$6,NOT(Calc!$C$46)),"cash sweep","ok"))</f>
        <v>cash sweep</v>
      </c>
      <c r="E12" s="15" t="n">
        <f aca="false">IF(C12&gt;=Inputs!$C$7,Inputs!$C$5-Inputs!$C$8*B12,0)</f>
        <v>0</v>
      </c>
    </row>
    <row r="13" customFormat="false" ht="15" hidden="false" customHeight="false" outlineLevel="0" collapsed="false">
      <c r="A13" s="9" t="n">
        <v>0.35</v>
      </c>
      <c r="B13" s="13" t="n">
        <f aca="false">Calc!$C$42*(1-A13)</f>
        <v>569.4</v>
      </c>
      <c r="C13" s="16" t="n">
        <f aca="false">IF(B13&gt;0,Inputs!$C$5/B13,"n/a")</f>
        <v>0.263435194942044</v>
      </c>
      <c r="D13" s="3" t="str">
        <f aca="false">IF(C13&gt;=Inputs!$C$7,"breach",IF(OR(C13&gt;=Inputs!$C$6,NOT(Calc!$C$46)),"cash sweep","ok"))</f>
        <v>breach</v>
      </c>
      <c r="E13" s="15" t="n">
        <f aca="false">IF(C13&gt;=Inputs!$C$7,Inputs!$C$5-Inputs!$C$8*B13,0)</f>
        <v>64.59</v>
      </c>
    </row>
    <row r="14" customFormat="false" ht="15" hidden="false" customHeight="false" outlineLevel="0" collapsed="false">
      <c r="A14" s="9" t="n">
        <v>0.4</v>
      </c>
      <c r="B14" s="13" t="n">
        <f aca="false">Calc!$C$42*(1-A14)</f>
        <v>525.6</v>
      </c>
      <c r="C14" s="16" t="n">
        <f aca="false">IF(B14&gt;0,Inputs!$C$5/B14,"n/a")</f>
        <v>0.285388127853881</v>
      </c>
      <c r="D14" s="3" t="str">
        <f aca="false">IF(C14&gt;=Inputs!$C$7,"breach",IF(OR(C14&gt;=Inputs!$C$6,NOT(Calc!$C$46)),"cash sweep","ok"))</f>
        <v>breach</v>
      </c>
      <c r="E14" s="15" t="n">
        <f aca="false">IF(C14&gt;=Inputs!$C$7,Inputs!$C$5-Inputs!$C$8*B14,0)</f>
        <v>71.16</v>
      </c>
    </row>
    <row r="15" customFormat="false" ht="15" hidden="false" customHeight="false" outlineLevel="0" collapsed="false">
      <c r="A15" s="9" t="n">
        <v>0.45</v>
      </c>
      <c r="B15" s="13" t="n">
        <f aca="false">Calc!$C$42*(1-A15)</f>
        <v>481.8</v>
      </c>
      <c r="C15" s="16" t="n">
        <f aca="false">IF(B15&gt;0,Inputs!$C$5/B15,"n/a")</f>
        <v>0.311332503113325</v>
      </c>
      <c r="D15" s="3" t="str">
        <f aca="false">IF(C15&gt;=Inputs!$C$7,"breach",IF(OR(C15&gt;=Inputs!$C$6,NOT(Calc!$C$46)),"cash sweep","ok"))</f>
        <v>breach</v>
      </c>
      <c r="E15" s="15" t="n">
        <f aca="false">IF(C15&gt;=Inputs!$C$7,Inputs!$C$5-Inputs!$C$8*B15,0)</f>
        <v>77.73</v>
      </c>
    </row>
    <row r="16" customFormat="false" ht="15" hidden="false" customHeight="false" outlineLevel="0" collapsed="false">
      <c r="A16" s="9" t="n">
        <v>0.5</v>
      </c>
      <c r="B16" s="13" t="n">
        <f aca="false">Calc!$C$42*(1-A16)</f>
        <v>438</v>
      </c>
      <c r="C16" s="16" t="n">
        <f aca="false">IF(B16&gt;0,Inputs!$C$5/B16,"n/a")</f>
        <v>0.342465753424658</v>
      </c>
      <c r="D16" s="3" t="str">
        <f aca="false">IF(C16&gt;=Inputs!$C$7,"breach",IF(OR(C16&gt;=Inputs!$C$6,NOT(Calc!$C$46)),"cash sweep","ok"))</f>
        <v>breach</v>
      </c>
      <c r="E16" s="15" t="n">
        <f aca="false">IF(C16&gt;=Inputs!$C$7,Inputs!$C$5-Inputs!$C$8*B16,0)</f>
        <v>84.3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12"/>
    <col collapsed="false" customWidth="true" hidden="false" outlineLevel="0" max="7" min="7" style="0" width="3"/>
    <col collapsed="false" customWidth="true" hidden="false" outlineLevel="0" max="11" min="8" style="0" width="12"/>
    <col collapsed="false" customWidth="true" hidden="false" outlineLevel="0" max="12" min="12" style="0" width="3"/>
    <col collapsed="false" customWidth="true" hidden="false" outlineLevel="0" max="16" min="13" style="0" width="12"/>
  </cols>
  <sheetData>
    <row r="1" customFormat="false" ht="17.35" hidden="false" customHeight="false" outlineLevel="0" collapsed="false">
      <c r="A1" s="1" t="s">
        <v>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15" hidden="false" customHeight="false" outlineLevel="0" collapsed="false">
      <c r="A3" s="3" t="s">
        <v>80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customFormat="false" ht="15" hidden="false" customHeight="false" outlineLevel="0" collapsed="false">
      <c r="A15" s="4"/>
      <c r="B15" s="4"/>
      <c r="C15" s="2" t="s">
        <v>81</v>
      </c>
      <c r="D15" s="14" t="n">
        <v>1</v>
      </c>
      <c r="E15" s="4"/>
      <c r="F15" s="4"/>
      <c r="G15" s="4"/>
      <c r="H15" s="2" t="s">
        <v>82</v>
      </c>
      <c r="I15" s="14" t="n">
        <v>2</v>
      </c>
      <c r="J15" s="4"/>
      <c r="K15" s="4"/>
      <c r="L15" s="4"/>
      <c r="M15" s="2" t="s">
        <v>83</v>
      </c>
      <c r="N15" s="14" t="n">
        <v>3</v>
      </c>
      <c r="O15" s="4"/>
      <c r="P15" s="4"/>
    </row>
    <row r="16" customFormat="false" ht="15" hidden="false" customHeight="false" outlineLevel="0" collapsed="false">
      <c r="A16" s="4"/>
      <c r="B16" s="2" t="s">
        <v>42</v>
      </c>
      <c r="C16" s="2" t="s">
        <v>84</v>
      </c>
      <c r="D16" s="2" t="s">
        <v>85</v>
      </c>
      <c r="E16" s="2" t="s">
        <v>86</v>
      </c>
      <c r="F16" s="2" t="s">
        <v>87</v>
      </c>
      <c r="G16" s="4"/>
      <c r="H16" s="2" t="s">
        <v>84</v>
      </c>
      <c r="I16" s="2" t="s">
        <v>85</v>
      </c>
      <c r="J16" s="2" t="s">
        <v>86</v>
      </c>
      <c r="K16" s="2" t="s">
        <v>87</v>
      </c>
      <c r="L16" s="4"/>
      <c r="M16" s="2" t="s">
        <v>84</v>
      </c>
      <c r="N16" s="2" t="s">
        <v>85</v>
      </c>
      <c r="O16" s="2" t="s">
        <v>86</v>
      </c>
      <c r="P16" s="2" t="s">
        <v>87</v>
      </c>
    </row>
    <row r="17" customFormat="false" ht="15" hidden="false" customHeight="false" outlineLevel="0" collapsed="false">
      <c r="A17" s="4"/>
      <c r="B17" s="12" t="str">
        <f aca="false">Calc!B17</f>
        <v>Asset A</v>
      </c>
      <c r="C17" s="15" t="n">
        <f aca="false">IF(Calc!$D17&lt;=$D$15,Calc!$C17*(1-Inputs!$C$13),Calc!$C17)</f>
        <v>0</v>
      </c>
      <c r="D17" s="15" t="n">
        <f aca="false">MIN(C17,Inputs!$C$9*C$38)</f>
        <v>0</v>
      </c>
      <c r="E17" s="14" t="n">
        <f aca="false">RANK(D17,D$17:D$36,0)+COUNTIF(D$16:D16,D17)</f>
        <v>11</v>
      </c>
      <c r="F17" s="14" t="n">
        <f aca="false">IF(AND(ISNUMBER(Inputs!$C$10),E17&lt;=Inputs!$C$10),1,0)</f>
        <v>0</v>
      </c>
      <c r="G17" s="4"/>
      <c r="H17" s="15" t="n">
        <f aca="false">IF(Calc!$D17&lt;=$I$15,Calc!$C17*(1-Inputs!$C$13),Calc!$C17)</f>
        <v>0</v>
      </c>
      <c r="I17" s="15" t="n">
        <f aca="false">MIN(H17,Inputs!$C$9*H$38)</f>
        <v>0</v>
      </c>
      <c r="J17" s="14" t="n">
        <f aca="false">RANK(I17,I$17:I$36,0)+COUNTIF(I$16:I16,I17)</f>
        <v>10</v>
      </c>
      <c r="K17" s="14" t="n">
        <f aca="false">IF(AND(ISNUMBER(Inputs!$C$10),J17&lt;=Inputs!$C$10),1,0)</f>
        <v>0</v>
      </c>
      <c r="L17" s="4"/>
      <c r="M17" s="15" t="n">
        <f aca="false">IF(Calc!$D17&lt;=$N$15,Calc!$C17*(1-Inputs!$C$13),Calc!$C17)</f>
        <v>0</v>
      </c>
      <c r="N17" s="15" t="n">
        <f aca="false">MIN(M17,Inputs!$C$9*M$38)</f>
        <v>0</v>
      </c>
      <c r="O17" s="14" t="n">
        <f aca="false">RANK(N17,N$17:N$36,0)+COUNTIF(N$16:N16,N17)</f>
        <v>9</v>
      </c>
      <c r="P17" s="14" t="n">
        <f aca="false">IF(AND(ISNUMBER(Inputs!$C$10),O17&lt;=Inputs!$C$10),1,0)</f>
        <v>0</v>
      </c>
    </row>
    <row r="18" customFormat="false" ht="15" hidden="false" customHeight="false" outlineLevel="0" collapsed="false">
      <c r="A18" s="4"/>
      <c r="B18" s="12" t="str">
        <f aca="false">Calc!B18</f>
        <v>Asset B</v>
      </c>
      <c r="C18" s="15" t="n">
        <f aca="false">IF(Calc!$D18&lt;=$D$15,Calc!$C18*(1-Inputs!$C$13),Calc!$C18)</f>
        <v>150</v>
      </c>
      <c r="D18" s="15" t="n">
        <f aca="false">MIN(C18,Inputs!$C$9*C$38)</f>
        <v>150</v>
      </c>
      <c r="E18" s="14" t="n">
        <f aca="false">RANK(D18,D$17:D$36,0)+COUNTIF(D$16:D17,D18)</f>
        <v>1</v>
      </c>
      <c r="F18" s="14" t="n">
        <f aca="false">IF(AND(ISNUMBER(Inputs!$C$10),E18&lt;=Inputs!$C$10),1,0)</f>
        <v>1</v>
      </c>
      <c r="G18" s="4"/>
      <c r="H18" s="15" t="n">
        <f aca="false">IF(Calc!$D18&lt;=$I$15,Calc!$C18*(1-Inputs!$C$13),Calc!$C18)</f>
        <v>0</v>
      </c>
      <c r="I18" s="15" t="n">
        <f aca="false">MIN(H18,Inputs!$C$9*H$38)</f>
        <v>0</v>
      </c>
      <c r="J18" s="14" t="n">
        <f aca="false">RANK(I18,I$17:I$36,0)+COUNTIF(I$16:I17,I18)</f>
        <v>11</v>
      </c>
      <c r="K18" s="14" t="n">
        <f aca="false">IF(AND(ISNUMBER(Inputs!$C$10),J18&lt;=Inputs!$C$10),1,0)</f>
        <v>0</v>
      </c>
      <c r="L18" s="4"/>
      <c r="M18" s="15" t="n">
        <f aca="false">IF(Calc!$D18&lt;=$N$15,Calc!$C18*(1-Inputs!$C$13),Calc!$C18)</f>
        <v>0</v>
      </c>
      <c r="N18" s="15" t="n">
        <f aca="false">MIN(M18,Inputs!$C$9*M$38)</f>
        <v>0</v>
      </c>
      <c r="O18" s="14" t="n">
        <f aca="false">RANK(N18,N$17:N$36,0)+COUNTIF(N$16:N17,N18)</f>
        <v>10</v>
      </c>
      <c r="P18" s="14" t="n">
        <f aca="false">IF(AND(ISNUMBER(Inputs!$C$10),O18&lt;=Inputs!$C$10),1,0)</f>
        <v>0</v>
      </c>
    </row>
    <row r="19" customFormat="false" ht="15" hidden="false" customHeight="false" outlineLevel="0" collapsed="false">
      <c r="A19" s="4"/>
      <c r="B19" s="12" t="str">
        <f aca="false">Calc!B19</f>
        <v>Asset C</v>
      </c>
      <c r="C19" s="15" t="n">
        <f aca="false">IF(Calc!$D19&lt;=$D$15,Calc!$C19*(1-Inputs!$C$13),Calc!$C19)</f>
        <v>120</v>
      </c>
      <c r="D19" s="15" t="n">
        <f aca="false">MIN(C19,Inputs!$C$9*C$38)</f>
        <v>120</v>
      </c>
      <c r="E19" s="14" t="n">
        <f aca="false">RANK(D19,D$17:D$36,0)+COUNTIF(D$16:D18,D19)</f>
        <v>2</v>
      </c>
      <c r="F19" s="14" t="n">
        <f aca="false">IF(AND(ISNUMBER(Inputs!$C$10),E19&lt;=Inputs!$C$10),1,0)</f>
        <v>1</v>
      </c>
      <c r="G19" s="4"/>
      <c r="H19" s="15" t="n">
        <f aca="false">IF(Calc!$D19&lt;=$I$15,Calc!$C19*(1-Inputs!$C$13),Calc!$C19)</f>
        <v>120</v>
      </c>
      <c r="I19" s="15" t="n">
        <f aca="false">MIN(H19,Inputs!$C$9*H$38)</f>
        <v>120</v>
      </c>
      <c r="J19" s="14" t="n">
        <f aca="false">RANK(I19,I$17:I$36,0)+COUNTIF(I$16:I18,I19)</f>
        <v>1</v>
      </c>
      <c r="K19" s="14" t="n">
        <f aca="false">IF(AND(ISNUMBER(Inputs!$C$10),J19&lt;=Inputs!$C$10),1,0)</f>
        <v>1</v>
      </c>
      <c r="L19" s="4"/>
      <c r="M19" s="15" t="n">
        <f aca="false">IF(Calc!$D19&lt;=$N$15,Calc!$C19*(1-Inputs!$C$13),Calc!$C19)</f>
        <v>0</v>
      </c>
      <c r="N19" s="15" t="n">
        <f aca="false">MIN(M19,Inputs!$C$9*M$38)</f>
        <v>0</v>
      </c>
      <c r="O19" s="14" t="n">
        <f aca="false">RANK(N19,N$17:N$36,0)+COUNTIF(N$16:N18,N19)</f>
        <v>11</v>
      </c>
      <c r="P19" s="14" t="n">
        <f aca="false">IF(AND(ISNUMBER(Inputs!$C$10),O19&lt;=Inputs!$C$10),1,0)</f>
        <v>0</v>
      </c>
    </row>
    <row r="20" customFormat="false" ht="15" hidden="false" customHeight="false" outlineLevel="0" collapsed="false">
      <c r="A20" s="4"/>
      <c r="B20" s="12" t="str">
        <f aca="false">Calc!B20</f>
        <v>Asset D</v>
      </c>
      <c r="C20" s="15" t="n">
        <f aca="false">IF(Calc!$D20&lt;=$D$15,Calc!$C20*(1-Inputs!$C$13),Calc!$C20)</f>
        <v>100</v>
      </c>
      <c r="D20" s="15" t="n">
        <f aca="false">MIN(C20,Inputs!$C$9*C$38)</f>
        <v>100</v>
      </c>
      <c r="E20" s="14" t="n">
        <f aca="false">RANK(D20,D$17:D$36,0)+COUNTIF(D$16:D19,D20)</f>
        <v>3</v>
      </c>
      <c r="F20" s="14" t="n">
        <f aca="false">IF(AND(ISNUMBER(Inputs!$C$10),E20&lt;=Inputs!$C$10),1,0)</f>
        <v>1</v>
      </c>
      <c r="G20" s="4"/>
      <c r="H20" s="15" t="n">
        <f aca="false">IF(Calc!$D20&lt;=$I$15,Calc!$C20*(1-Inputs!$C$13),Calc!$C20)</f>
        <v>100</v>
      </c>
      <c r="I20" s="15" t="n">
        <f aca="false">MIN(H20,Inputs!$C$9*H$38)</f>
        <v>100</v>
      </c>
      <c r="J20" s="14" t="n">
        <f aca="false">RANK(I20,I$17:I$36,0)+COUNTIF(I$16:I19,I20)</f>
        <v>2</v>
      </c>
      <c r="K20" s="14" t="n">
        <f aca="false">IF(AND(ISNUMBER(Inputs!$C$10),J20&lt;=Inputs!$C$10),1,0)</f>
        <v>1</v>
      </c>
      <c r="L20" s="4"/>
      <c r="M20" s="15" t="n">
        <f aca="false">IF(Calc!$D20&lt;=$N$15,Calc!$C20*(1-Inputs!$C$13),Calc!$C20)</f>
        <v>100</v>
      </c>
      <c r="N20" s="15" t="n">
        <f aca="false">MIN(M20,Inputs!$C$9*M$38)</f>
        <v>98</v>
      </c>
      <c r="O20" s="14" t="n">
        <f aca="false">RANK(N20,N$17:N$36,0)+COUNTIF(N$16:N19,N20)</f>
        <v>1</v>
      </c>
      <c r="P20" s="14" t="n">
        <f aca="false">IF(AND(ISNUMBER(Inputs!$C$10),O20&lt;=Inputs!$C$10),1,0)</f>
        <v>1</v>
      </c>
    </row>
    <row r="21" customFormat="false" ht="15" hidden="false" customHeight="false" outlineLevel="0" collapsed="false">
      <c r="A21" s="4"/>
      <c r="B21" s="12" t="str">
        <f aca="false">Calc!B21</f>
        <v>Asset E</v>
      </c>
      <c r="C21" s="15" t="n">
        <f aca="false">IF(Calc!$D21&lt;=$D$15,Calc!$C21*(1-Inputs!$C$13),Calc!$C21)</f>
        <v>90</v>
      </c>
      <c r="D21" s="15" t="n">
        <f aca="false">MIN(C21,Inputs!$C$9*C$38)</f>
        <v>90</v>
      </c>
      <c r="E21" s="14" t="n">
        <f aca="false">RANK(D21,D$17:D$36,0)+COUNTIF(D$16:D20,D21)</f>
        <v>4</v>
      </c>
      <c r="F21" s="14" t="n">
        <f aca="false">IF(AND(ISNUMBER(Inputs!$C$10),E21&lt;=Inputs!$C$10),1,0)</f>
        <v>1</v>
      </c>
      <c r="G21" s="4"/>
      <c r="H21" s="15" t="n">
        <f aca="false">IF(Calc!$D21&lt;=$I$15,Calc!$C21*(1-Inputs!$C$13),Calc!$C21)</f>
        <v>90</v>
      </c>
      <c r="I21" s="15" t="n">
        <f aca="false">MIN(H21,Inputs!$C$9*H$38)</f>
        <v>90</v>
      </c>
      <c r="J21" s="14" t="n">
        <f aca="false">RANK(I21,I$17:I$36,0)+COUNTIF(I$16:I20,I21)</f>
        <v>3</v>
      </c>
      <c r="K21" s="14" t="n">
        <f aca="false">IF(AND(ISNUMBER(Inputs!$C$10),J21&lt;=Inputs!$C$10),1,0)</f>
        <v>1</v>
      </c>
      <c r="L21" s="4"/>
      <c r="M21" s="15" t="n">
        <f aca="false">IF(Calc!$D21&lt;=$N$15,Calc!$C21*(1-Inputs!$C$13),Calc!$C21)</f>
        <v>90</v>
      </c>
      <c r="N21" s="15" t="n">
        <f aca="false">MIN(M21,Inputs!$C$9*M$38)</f>
        <v>90</v>
      </c>
      <c r="O21" s="14" t="n">
        <f aca="false">RANK(N21,N$17:N$36,0)+COUNTIF(N$16:N20,N21)</f>
        <v>2</v>
      </c>
      <c r="P21" s="14" t="n">
        <f aca="false">IF(AND(ISNUMBER(Inputs!$C$10),O21&lt;=Inputs!$C$10),1,0)</f>
        <v>1</v>
      </c>
    </row>
    <row r="22" customFormat="false" ht="15" hidden="false" customHeight="false" outlineLevel="0" collapsed="false">
      <c r="A22" s="4"/>
      <c r="B22" s="12" t="str">
        <f aca="false">Calc!B22</f>
        <v>Asset F</v>
      </c>
      <c r="C22" s="15" t="n">
        <f aca="false">IF(Calc!$D22&lt;=$D$15,Calc!$C22*(1-Inputs!$C$13),Calc!$C22)</f>
        <v>80</v>
      </c>
      <c r="D22" s="15" t="n">
        <f aca="false">MIN(C22,Inputs!$C$9*C$38)</f>
        <v>80</v>
      </c>
      <c r="E22" s="14" t="n">
        <f aca="false">RANK(D22,D$17:D$36,0)+COUNTIF(D$16:D21,D22)</f>
        <v>5</v>
      </c>
      <c r="F22" s="14" t="n">
        <f aca="false">IF(AND(ISNUMBER(Inputs!$C$10),E22&lt;=Inputs!$C$10),1,0)</f>
        <v>1</v>
      </c>
      <c r="G22" s="4"/>
      <c r="H22" s="15" t="n">
        <f aca="false">IF(Calc!$D22&lt;=$I$15,Calc!$C22*(1-Inputs!$C$13),Calc!$C22)</f>
        <v>80</v>
      </c>
      <c r="I22" s="15" t="n">
        <f aca="false">MIN(H22,Inputs!$C$9*H$38)</f>
        <v>80</v>
      </c>
      <c r="J22" s="14" t="n">
        <f aca="false">RANK(I22,I$17:I$36,0)+COUNTIF(I$16:I21,I22)</f>
        <v>4</v>
      </c>
      <c r="K22" s="14" t="n">
        <f aca="false">IF(AND(ISNUMBER(Inputs!$C$10),J22&lt;=Inputs!$C$10),1,0)</f>
        <v>1</v>
      </c>
      <c r="L22" s="4"/>
      <c r="M22" s="15" t="n">
        <f aca="false">IF(Calc!$D22&lt;=$N$15,Calc!$C22*(1-Inputs!$C$13),Calc!$C22)</f>
        <v>80</v>
      </c>
      <c r="N22" s="15" t="n">
        <f aca="false">MIN(M22,Inputs!$C$9*M$38)</f>
        <v>80</v>
      </c>
      <c r="O22" s="14" t="n">
        <f aca="false">RANK(N22,N$17:N$36,0)+COUNTIF(N$16:N21,N22)</f>
        <v>3</v>
      </c>
      <c r="P22" s="14" t="n">
        <f aca="false">IF(AND(ISNUMBER(Inputs!$C$10),O22&lt;=Inputs!$C$10),1,0)</f>
        <v>1</v>
      </c>
    </row>
    <row r="23" customFormat="false" ht="15" hidden="false" customHeight="false" outlineLevel="0" collapsed="false">
      <c r="A23" s="4"/>
      <c r="B23" s="12" t="str">
        <f aca="false">Calc!B23</f>
        <v>Asset G</v>
      </c>
      <c r="C23" s="15" t="n">
        <f aca="false">IF(Calc!$D23&lt;=$D$15,Calc!$C23*(1-Inputs!$C$13),Calc!$C23)</f>
        <v>70</v>
      </c>
      <c r="D23" s="15" t="n">
        <f aca="false">MIN(C23,Inputs!$C$9*C$38)</f>
        <v>70</v>
      </c>
      <c r="E23" s="14" t="n">
        <f aca="false">RANK(D23,D$17:D$36,0)+COUNTIF(D$16:D22,D23)</f>
        <v>6</v>
      </c>
      <c r="F23" s="14" t="n">
        <f aca="false">IF(AND(ISNUMBER(Inputs!$C$10),E23&lt;=Inputs!$C$10),1,0)</f>
        <v>0</v>
      </c>
      <c r="G23" s="4"/>
      <c r="H23" s="15" t="n">
        <f aca="false">IF(Calc!$D23&lt;=$I$15,Calc!$C23*(1-Inputs!$C$13),Calc!$C23)</f>
        <v>70</v>
      </c>
      <c r="I23" s="15" t="n">
        <f aca="false">MIN(H23,Inputs!$C$9*H$38)</f>
        <v>70</v>
      </c>
      <c r="J23" s="14" t="n">
        <f aca="false">RANK(I23,I$17:I$36,0)+COUNTIF(I$16:I22,I23)</f>
        <v>5</v>
      </c>
      <c r="K23" s="14" t="n">
        <f aca="false">IF(AND(ISNUMBER(Inputs!$C$10),J23&lt;=Inputs!$C$10),1,0)</f>
        <v>1</v>
      </c>
      <c r="L23" s="4"/>
      <c r="M23" s="15" t="n">
        <f aca="false">IF(Calc!$D23&lt;=$N$15,Calc!$C23*(1-Inputs!$C$13),Calc!$C23)</f>
        <v>70</v>
      </c>
      <c r="N23" s="15" t="n">
        <f aca="false">MIN(M23,Inputs!$C$9*M$38)</f>
        <v>70</v>
      </c>
      <c r="O23" s="14" t="n">
        <f aca="false">RANK(N23,N$17:N$36,0)+COUNTIF(N$16:N22,N23)</f>
        <v>4</v>
      </c>
      <c r="P23" s="14" t="n">
        <f aca="false">IF(AND(ISNUMBER(Inputs!$C$10),O23&lt;=Inputs!$C$10),1,0)</f>
        <v>1</v>
      </c>
    </row>
    <row r="24" customFormat="false" ht="15" hidden="false" customHeight="false" outlineLevel="0" collapsed="false">
      <c r="A24" s="4"/>
      <c r="B24" s="12" t="str">
        <f aca="false">Calc!B24</f>
        <v>Asset H</v>
      </c>
      <c r="C24" s="15" t="n">
        <f aca="false">IF(Calc!$D24&lt;=$D$15,Calc!$C24*(1-Inputs!$C$13),Calc!$C24)</f>
        <v>60</v>
      </c>
      <c r="D24" s="15" t="n">
        <f aca="false">MIN(C24,Inputs!$C$9*C$38)</f>
        <v>60</v>
      </c>
      <c r="E24" s="14" t="n">
        <f aca="false">RANK(D24,D$17:D$36,0)+COUNTIF(D$16:D23,D24)</f>
        <v>7</v>
      </c>
      <c r="F24" s="14" t="n">
        <f aca="false">IF(AND(ISNUMBER(Inputs!$C$10),E24&lt;=Inputs!$C$10),1,0)</f>
        <v>0</v>
      </c>
      <c r="G24" s="4"/>
      <c r="H24" s="15" t="n">
        <f aca="false">IF(Calc!$D24&lt;=$I$15,Calc!$C24*(1-Inputs!$C$13),Calc!$C24)</f>
        <v>60</v>
      </c>
      <c r="I24" s="15" t="n">
        <f aca="false">MIN(H24,Inputs!$C$9*H$38)</f>
        <v>60</v>
      </c>
      <c r="J24" s="14" t="n">
        <f aca="false">RANK(I24,I$17:I$36,0)+COUNTIF(I$16:I23,I24)</f>
        <v>6</v>
      </c>
      <c r="K24" s="14" t="n">
        <f aca="false">IF(AND(ISNUMBER(Inputs!$C$10),J24&lt;=Inputs!$C$10),1,0)</f>
        <v>0</v>
      </c>
      <c r="L24" s="4"/>
      <c r="M24" s="15" t="n">
        <f aca="false">IF(Calc!$D24&lt;=$N$15,Calc!$C24*(1-Inputs!$C$13),Calc!$C24)</f>
        <v>60</v>
      </c>
      <c r="N24" s="15" t="n">
        <f aca="false">MIN(M24,Inputs!$C$9*M$38)</f>
        <v>60</v>
      </c>
      <c r="O24" s="14" t="n">
        <f aca="false">RANK(N24,N$17:N$36,0)+COUNTIF(N$16:N23,N24)</f>
        <v>5</v>
      </c>
      <c r="P24" s="14" t="n">
        <f aca="false">IF(AND(ISNUMBER(Inputs!$C$10),O24&lt;=Inputs!$C$10),1,0)</f>
        <v>1</v>
      </c>
    </row>
    <row r="25" customFormat="false" ht="15" hidden="false" customHeight="false" outlineLevel="0" collapsed="false">
      <c r="A25" s="4"/>
      <c r="B25" s="12" t="str">
        <f aca="false">Calc!B25</f>
        <v>Asset I</v>
      </c>
      <c r="C25" s="15" t="n">
        <f aca="false">IF(Calc!$D25&lt;=$D$15,Calc!$C25*(1-Inputs!$C$13),Calc!$C25)</f>
        <v>40</v>
      </c>
      <c r="D25" s="15" t="n">
        <f aca="false">MIN(C25,Inputs!$C$9*C$38)</f>
        <v>40</v>
      </c>
      <c r="E25" s="14" t="n">
        <f aca="false">RANK(D25,D$17:D$36,0)+COUNTIF(D$16:D24,D25)</f>
        <v>8</v>
      </c>
      <c r="F25" s="14" t="n">
        <f aca="false">IF(AND(ISNUMBER(Inputs!$C$10),E25&lt;=Inputs!$C$10),1,0)</f>
        <v>0</v>
      </c>
      <c r="G25" s="4"/>
      <c r="H25" s="15" t="n">
        <f aca="false">IF(Calc!$D25&lt;=$I$15,Calc!$C25*(1-Inputs!$C$13),Calc!$C25)</f>
        <v>40</v>
      </c>
      <c r="I25" s="15" t="n">
        <f aca="false">MIN(H25,Inputs!$C$9*H$38)</f>
        <v>40</v>
      </c>
      <c r="J25" s="14" t="n">
        <f aca="false">RANK(I25,I$17:I$36,0)+COUNTIF(I$16:I24,I25)</f>
        <v>7</v>
      </c>
      <c r="K25" s="14" t="n">
        <f aca="false">IF(AND(ISNUMBER(Inputs!$C$10),J25&lt;=Inputs!$C$10),1,0)</f>
        <v>0</v>
      </c>
      <c r="L25" s="4"/>
      <c r="M25" s="15" t="n">
        <f aca="false">IF(Calc!$D25&lt;=$N$15,Calc!$C25*(1-Inputs!$C$13),Calc!$C25)</f>
        <v>40</v>
      </c>
      <c r="N25" s="15" t="n">
        <f aca="false">MIN(M25,Inputs!$C$9*M$38)</f>
        <v>40</v>
      </c>
      <c r="O25" s="14" t="n">
        <f aca="false">RANK(N25,N$17:N$36,0)+COUNTIF(N$16:N24,N25)</f>
        <v>6</v>
      </c>
      <c r="P25" s="14" t="n">
        <f aca="false">IF(AND(ISNUMBER(Inputs!$C$10),O25&lt;=Inputs!$C$10),1,0)</f>
        <v>0</v>
      </c>
    </row>
    <row r="26" customFormat="false" ht="15" hidden="false" customHeight="false" outlineLevel="0" collapsed="false">
      <c r="A26" s="4"/>
      <c r="B26" s="12" t="str">
        <f aca="false">Calc!B26</f>
        <v>Asset J</v>
      </c>
      <c r="C26" s="15" t="n">
        <f aca="false">IF(Calc!$D26&lt;=$D$15,Calc!$C26*(1-Inputs!$C$13),Calc!$C26)</f>
        <v>30</v>
      </c>
      <c r="D26" s="15" t="n">
        <f aca="false">MIN(C26,Inputs!$C$9*C$38)</f>
        <v>30</v>
      </c>
      <c r="E26" s="14" t="n">
        <f aca="false">RANK(D26,D$17:D$36,0)+COUNTIF(D$16:D25,D26)</f>
        <v>9</v>
      </c>
      <c r="F26" s="14" t="n">
        <f aca="false">IF(AND(ISNUMBER(Inputs!$C$10),E26&lt;=Inputs!$C$10),1,0)</f>
        <v>0</v>
      </c>
      <c r="G26" s="4"/>
      <c r="H26" s="15" t="n">
        <f aca="false">IF(Calc!$D26&lt;=$I$15,Calc!$C26*(1-Inputs!$C$13),Calc!$C26)</f>
        <v>30</v>
      </c>
      <c r="I26" s="15" t="n">
        <f aca="false">MIN(H26,Inputs!$C$9*H$38)</f>
        <v>30</v>
      </c>
      <c r="J26" s="14" t="n">
        <f aca="false">RANK(I26,I$17:I$36,0)+COUNTIF(I$16:I25,I26)</f>
        <v>8</v>
      </c>
      <c r="K26" s="14" t="n">
        <f aca="false">IF(AND(ISNUMBER(Inputs!$C$10),J26&lt;=Inputs!$C$10),1,0)</f>
        <v>0</v>
      </c>
      <c r="L26" s="4"/>
      <c r="M26" s="15" t="n">
        <f aca="false">IF(Calc!$D26&lt;=$N$15,Calc!$C26*(1-Inputs!$C$13),Calc!$C26)</f>
        <v>30</v>
      </c>
      <c r="N26" s="15" t="n">
        <f aca="false">MIN(M26,Inputs!$C$9*M$38)</f>
        <v>30</v>
      </c>
      <c r="O26" s="14" t="n">
        <f aca="false">RANK(N26,N$17:N$36,0)+COUNTIF(N$16:N25,N26)</f>
        <v>7</v>
      </c>
      <c r="P26" s="14" t="n">
        <f aca="false">IF(AND(ISNUMBER(Inputs!$C$10),O26&lt;=Inputs!$C$10),1,0)</f>
        <v>0</v>
      </c>
    </row>
    <row r="27" customFormat="false" ht="15" hidden="false" customHeight="false" outlineLevel="0" collapsed="false">
      <c r="A27" s="4"/>
      <c r="B27" s="12" t="str">
        <f aca="false">Calc!B27</f>
        <v>Asset K</v>
      </c>
      <c r="C27" s="15" t="n">
        <f aca="false">IF(Calc!$D27&lt;=$D$15,Calc!$C27*(1-Inputs!$C$13),Calc!$C27)</f>
        <v>20</v>
      </c>
      <c r="D27" s="15" t="n">
        <f aca="false">MIN(C27,Inputs!$C$9*C$38)</f>
        <v>20</v>
      </c>
      <c r="E27" s="14" t="n">
        <f aca="false">RANK(D27,D$17:D$36,0)+COUNTIF(D$16:D26,D27)</f>
        <v>10</v>
      </c>
      <c r="F27" s="14" t="n">
        <f aca="false">IF(AND(ISNUMBER(Inputs!$C$10),E27&lt;=Inputs!$C$10),1,0)</f>
        <v>0</v>
      </c>
      <c r="G27" s="4"/>
      <c r="H27" s="15" t="n">
        <f aca="false">IF(Calc!$D27&lt;=$I$15,Calc!$C27*(1-Inputs!$C$13),Calc!$C27)</f>
        <v>20</v>
      </c>
      <c r="I27" s="15" t="n">
        <f aca="false">MIN(H27,Inputs!$C$9*H$38)</f>
        <v>20</v>
      </c>
      <c r="J27" s="14" t="n">
        <f aca="false">RANK(I27,I$17:I$36,0)+COUNTIF(I$16:I26,I27)</f>
        <v>9</v>
      </c>
      <c r="K27" s="14" t="n">
        <f aca="false">IF(AND(ISNUMBER(Inputs!$C$10),J27&lt;=Inputs!$C$10),1,0)</f>
        <v>0</v>
      </c>
      <c r="L27" s="4"/>
      <c r="M27" s="15" t="n">
        <f aca="false">IF(Calc!$D27&lt;=$N$15,Calc!$C27*(1-Inputs!$C$13),Calc!$C27)</f>
        <v>20</v>
      </c>
      <c r="N27" s="15" t="n">
        <f aca="false">MIN(M27,Inputs!$C$9*M$38)</f>
        <v>20</v>
      </c>
      <c r="O27" s="14" t="n">
        <f aca="false">RANK(N27,N$17:N$36,0)+COUNTIF(N$16:N26,N27)</f>
        <v>8</v>
      </c>
      <c r="P27" s="14" t="n">
        <f aca="false">IF(AND(ISNUMBER(Inputs!$C$10),O27&lt;=Inputs!$C$10),1,0)</f>
        <v>0</v>
      </c>
    </row>
    <row r="28" customFormat="false" ht="15" hidden="false" customHeight="false" outlineLevel="0" collapsed="false">
      <c r="A28" s="4"/>
      <c r="B28" s="12" t="str">
        <f aca="false">Calc!B28</f>
        <v/>
      </c>
      <c r="C28" s="15" t="n">
        <f aca="false">IF(Calc!$D28&lt;=$D$15,Calc!$C28*(1-Inputs!$C$13),Calc!$C28)</f>
        <v>0</v>
      </c>
      <c r="D28" s="15" t="n">
        <f aca="false">MIN(C28,Inputs!$C$9*C$38)</f>
        <v>0</v>
      </c>
      <c r="E28" s="14" t="n">
        <f aca="false">RANK(D28,D$17:D$36,0)+COUNTIF(D$16:D27,D28)</f>
        <v>12</v>
      </c>
      <c r="F28" s="14" t="n">
        <f aca="false">IF(AND(ISNUMBER(Inputs!$C$10),E28&lt;=Inputs!$C$10),1,0)</f>
        <v>0</v>
      </c>
      <c r="G28" s="4"/>
      <c r="H28" s="15" t="n">
        <f aca="false">IF(Calc!$D28&lt;=$I$15,Calc!$C28*(1-Inputs!$C$13),Calc!$C28)</f>
        <v>0</v>
      </c>
      <c r="I28" s="15" t="n">
        <f aca="false">MIN(H28,Inputs!$C$9*H$38)</f>
        <v>0</v>
      </c>
      <c r="J28" s="14" t="n">
        <f aca="false">RANK(I28,I$17:I$36,0)+COUNTIF(I$16:I27,I28)</f>
        <v>12</v>
      </c>
      <c r="K28" s="14" t="n">
        <f aca="false">IF(AND(ISNUMBER(Inputs!$C$10),J28&lt;=Inputs!$C$10),1,0)</f>
        <v>0</v>
      </c>
      <c r="L28" s="4"/>
      <c r="M28" s="15" t="n">
        <f aca="false">IF(Calc!$D28&lt;=$N$15,Calc!$C28*(1-Inputs!$C$13),Calc!$C28)</f>
        <v>0</v>
      </c>
      <c r="N28" s="15" t="n">
        <f aca="false">MIN(M28,Inputs!$C$9*M$38)</f>
        <v>0</v>
      </c>
      <c r="O28" s="14" t="n">
        <f aca="false">RANK(N28,N$17:N$36,0)+COUNTIF(N$16:N27,N28)</f>
        <v>12</v>
      </c>
      <c r="P28" s="14" t="n">
        <f aca="false">IF(AND(ISNUMBER(Inputs!$C$10),O28&lt;=Inputs!$C$10),1,0)</f>
        <v>0</v>
      </c>
    </row>
    <row r="29" customFormat="false" ht="15" hidden="false" customHeight="false" outlineLevel="0" collapsed="false">
      <c r="A29" s="4"/>
      <c r="B29" s="12" t="str">
        <f aca="false">Calc!B29</f>
        <v/>
      </c>
      <c r="C29" s="15" t="n">
        <f aca="false">IF(Calc!$D29&lt;=$D$15,Calc!$C29*(1-Inputs!$C$13),Calc!$C29)</f>
        <v>0</v>
      </c>
      <c r="D29" s="15" t="n">
        <f aca="false">MIN(C29,Inputs!$C$9*C$38)</f>
        <v>0</v>
      </c>
      <c r="E29" s="14" t="n">
        <f aca="false">RANK(D29,D$17:D$36,0)+COUNTIF(D$16:D28,D29)</f>
        <v>13</v>
      </c>
      <c r="F29" s="14" t="n">
        <f aca="false">IF(AND(ISNUMBER(Inputs!$C$10),E29&lt;=Inputs!$C$10),1,0)</f>
        <v>0</v>
      </c>
      <c r="G29" s="4"/>
      <c r="H29" s="15" t="n">
        <f aca="false">IF(Calc!$D29&lt;=$I$15,Calc!$C29*(1-Inputs!$C$13),Calc!$C29)</f>
        <v>0</v>
      </c>
      <c r="I29" s="15" t="n">
        <f aca="false">MIN(H29,Inputs!$C$9*H$38)</f>
        <v>0</v>
      </c>
      <c r="J29" s="14" t="n">
        <f aca="false">RANK(I29,I$17:I$36,0)+COUNTIF(I$16:I28,I29)</f>
        <v>13</v>
      </c>
      <c r="K29" s="14" t="n">
        <f aca="false">IF(AND(ISNUMBER(Inputs!$C$10),J29&lt;=Inputs!$C$10),1,0)</f>
        <v>0</v>
      </c>
      <c r="L29" s="4"/>
      <c r="M29" s="15" t="n">
        <f aca="false">IF(Calc!$D29&lt;=$N$15,Calc!$C29*(1-Inputs!$C$13),Calc!$C29)</f>
        <v>0</v>
      </c>
      <c r="N29" s="15" t="n">
        <f aca="false">MIN(M29,Inputs!$C$9*M$38)</f>
        <v>0</v>
      </c>
      <c r="O29" s="14" t="n">
        <f aca="false">RANK(N29,N$17:N$36,0)+COUNTIF(N$16:N28,N29)</f>
        <v>13</v>
      </c>
      <c r="P29" s="14" t="n">
        <f aca="false">IF(AND(ISNUMBER(Inputs!$C$10),O29&lt;=Inputs!$C$10),1,0)</f>
        <v>0</v>
      </c>
    </row>
    <row r="30" customFormat="false" ht="15" hidden="false" customHeight="false" outlineLevel="0" collapsed="false">
      <c r="A30" s="4"/>
      <c r="B30" s="12" t="str">
        <f aca="false">Calc!B30</f>
        <v/>
      </c>
      <c r="C30" s="15" t="n">
        <f aca="false">IF(Calc!$D30&lt;=$D$15,Calc!$C30*(1-Inputs!$C$13),Calc!$C30)</f>
        <v>0</v>
      </c>
      <c r="D30" s="15" t="n">
        <f aca="false">MIN(C30,Inputs!$C$9*C$38)</f>
        <v>0</v>
      </c>
      <c r="E30" s="14" t="n">
        <f aca="false">RANK(D30,D$17:D$36,0)+COUNTIF(D$16:D29,D30)</f>
        <v>14</v>
      </c>
      <c r="F30" s="14" t="n">
        <f aca="false">IF(AND(ISNUMBER(Inputs!$C$10),E30&lt;=Inputs!$C$10),1,0)</f>
        <v>0</v>
      </c>
      <c r="G30" s="4"/>
      <c r="H30" s="15" t="n">
        <f aca="false">IF(Calc!$D30&lt;=$I$15,Calc!$C30*(1-Inputs!$C$13),Calc!$C30)</f>
        <v>0</v>
      </c>
      <c r="I30" s="15" t="n">
        <f aca="false">MIN(H30,Inputs!$C$9*H$38)</f>
        <v>0</v>
      </c>
      <c r="J30" s="14" t="n">
        <f aca="false">RANK(I30,I$17:I$36,0)+COUNTIF(I$16:I29,I30)</f>
        <v>14</v>
      </c>
      <c r="K30" s="14" t="n">
        <f aca="false">IF(AND(ISNUMBER(Inputs!$C$10),J30&lt;=Inputs!$C$10),1,0)</f>
        <v>0</v>
      </c>
      <c r="L30" s="4"/>
      <c r="M30" s="15" t="n">
        <f aca="false">IF(Calc!$D30&lt;=$N$15,Calc!$C30*(1-Inputs!$C$13),Calc!$C30)</f>
        <v>0</v>
      </c>
      <c r="N30" s="15" t="n">
        <f aca="false">MIN(M30,Inputs!$C$9*M$38)</f>
        <v>0</v>
      </c>
      <c r="O30" s="14" t="n">
        <f aca="false">RANK(N30,N$17:N$36,0)+COUNTIF(N$16:N29,N30)</f>
        <v>14</v>
      </c>
      <c r="P30" s="14" t="n">
        <f aca="false">IF(AND(ISNUMBER(Inputs!$C$10),O30&lt;=Inputs!$C$10),1,0)</f>
        <v>0</v>
      </c>
    </row>
    <row r="31" customFormat="false" ht="15" hidden="false" customHeight="false" outlineLevel="0" collapsed="false">
      <c r="A31" s="4"/>
      <c r="B31" s="12" t="str">
        <f aca="false">Calc!B31</f>
        <v/>
      </c>
      <c r="C31" s="15" t="n">
        <f aca="false">IF(Calc!$D31&lt;=$D$15,Calc!$C31*(1-Inputs!$C$13),Calc!$C31)</f>
        <v>0</v>
      </c>
      <c r="D31" s="15" t="n">
        <f aca="false">MIN(C31,Inputs!$C$9*C$38)</f>
        <v>0</v>
      </c>
      <c r="E31" s="14" t="n">
        <f aca="false">RANK(D31,D$17:D$36,0)+COUNTIF(D$16:D30,D31)</f>
        <v>15</v>
      </c>
      <c r="F31" s="14" t="n">
        <f aca="false">IF(AND(ISNUMBER(Inputs!$C$10),E31&lt;=Inputs!$C$10),1,0)</f>
        <v>0</v>
      </c>
      <c r="G31" s="4"/>
      <c r="H31" s="15" t="n">
        <f aca="false">IF(Calc!$D31&lt;=$I$15,Calc!$C31*(1-Inputs!$C$13),Calc!$C31)</f>
        <v>0</v>
      </c>
      <c r="I31" s="15" t="n">
        <f aca="false">MIN(H31,Inputs!$C$9*H$38)</f>
        <v>0</v>
      </c>
      <c r="J31" s="14" t="n">
        <f aca="false">RANK(I31,I$17:I$36,0)+COUNTIF(I$16:I30,I31)</f>
        <v>15</v>
      </c>
      <c r="K31" s="14" t="n">
        <f aca="false">IF(AND(ISNUMBER(Inputs!$C$10),J31&lt;=Inputs!$C$10),1,0)</f>
        <v>0</v>
      </c>
      <c r="L31" s="4"/>
      <c r="M31" s="15" t="n">
        <f aca="false">IF(Calc!$D31&lt;=$N$15,Calc!$C31*(1-Inputs!$C$13),Calc!$C31)</f>
        <v>0</v>
      </c>
      <c r="N31" s="15" t="n">
        <f aca="false">MIN(M31,Inputs!$C$9*M$38)</f>
        <v>0</v>
      </c>
      <c r="O31" s="14" t="n">
        <f aca="false">RANK(N31,N$17:N$36,0)+COUNTIF(N$16:N30,N31)</f>
        <v>15</v>
      </c>
      <c r="P31" s="14" t="n">
        <f aca="false">IF(AND(ISNUMBER(Inputs!$C$10),O31&lt;=Inputs!$C$10),1,0)</f>
        <v>0</v>
      </c>
    </row>
    <row r="32" customFormat="false" ht="15" hidden="false" customHeight="false" outlineLevel="0" collapsed="false">
      <c r="A32" s="4"/>
      <c r="B32" s="12" t="str">
        <f aca="false">Calc!B32</f>
        <v/>
      </c>
      <c r="C32" s="15" t="n">
        <f aca="false">IF(Calc!$D32&lt;=$D$15,Calc!$C32*(1-Inputs!$C$13),Calc!$C32)</f>
        <v>0</v>
      </c>
      <c r="D32" s="15" t="n">
        <f aca="false">MIN(C32,Inputs!$C$9*C$38)</f>
        <v>0</v>
      </c>
      <c r="E32" s="14" t="n">
        <f aca="false">RANK(D32,D$17:D$36,0)+COUNTIF(D$16:D31,D32)</f>
        <v>16</v>
      </c>
      <c r="F32" s="14" t="n">
        <f aca="false">IF(AND(ISNUMBER(Inputs!$C$10),E32&lt;=Inputs!$C$10),1,0)</f>
        <v>0</v>
      </c>
      <c r="G32" s="4"/>
      <c r="H32" s="15" t="n">
        <f aca="false">IF(Calc!$D32&lt;=$I$15,Calc!$C32*(1-Inputs!$C$13),Calc!$C32)</f>
        <v>0</v>
      </c>
      <c r="I32" s="15" t="n">
        <f aca="false">MIN(H32,Inputs!$C$9*H$38)</f>
        <v>0</v>
      </c>
      <c r="J32" s="14" t="n">
        <f aca="false">RANK(I32,I$17:I$36,0)+COUNTIF(I$16:I31,I32)</f>
        <v>16</v>
      </c>
      <c r="K32" s="14" t="n">
        <f aca="false">IF(AND(ISNUMBER(Inputs!$C$10),J32&lt;=Inputs!$C$10),1,0)</f>
        <v>0</v>
      </c>
      <c r="L32" s="4"/>
      <c r="M32" s="15" t="n">
        <f aca="false">IF(Calc!$D32&lt;=$N$15,Calc!$C32*(1-Inputs!$C$13),Calc!$C32)</f>
        <v>0</v>
      </c>
      <c r="N32" s="15" t="n">
        <f aca="false">MIN(M32,Inputs!$C$9*M$38)</f>
        <v>0</v>
      </c>
      <c r="O32" s="14" t="n">
        <f aca="false">RANK(N32,N$17:N$36,0)+COUNTIF(N$16:N31,N32)</f>
        <v>16</v>
      </c>
      <c r="P32" s="14" t="n">
        <f aca="false">IF(AND(ISNUMBER(Inputs!$C$10),O32&lt;=Inputs!$C$10),1,0)</f>
        <v>0</v>
      </c>
    </row>
    <row r="33" customFormat="false" ht="15" hidden="false" customHeight="false" outlineLevel="0" collapsed="false">
      <c r="A33" s="4"/>
      <c r="B33" s="12" t="str">
        <f aca="false">Calc!B33</f>
        <v/>
      </c>
      <c r="C33" s="15" t="n">
        <f aca="false">IF(Calc!$D33&lt;=$D$15,Calc!$C33*(1-Inputs!$C$13),Calc!$C33)</f>
        <v>0</v>
      </c>
      <c r="D33" s="15" t="n">
        <f aca="false">MIN(C33,Inputs!$C$9*C$38)</f>
        <v>0</v>
      </c>
      <c r="E33" s="14" t="n">
        <f aca="false">RANK(D33,D$17:D$36,0)+COUNTIF(D$16:D32,D33)</f>
        <v>17</v>
      </c>
      <c r="F33" s="14" t="n">
        <f aca="false">IF(AND(ISNUMBER(Inputs!$C$10),E33&lt;=Inputs!$C$10),1,0)</f>
        <v>0</v>
      </c>
      <c r="G33" s="4"/>
      <c r="H33" s="15" t="n">
        <f aca="false">IF(Calc!$D33&lt;=$I$15,Calc!$C33*(1-Inputs!$C$13),Calc!$C33)</f>
        <v>0</v>
      </c>
      <c r="I33" s="15" t="n">
        <f aca="false">MIN(H33,Inputs!$C$9*H$38)</f>
        <v>0</v>
      </c>
      <c r="J33" s="14" t="n">
        <f aca="false">RANK(I33,I$17:I$36,0)+COUNTIF(I$16:I32,I33)</f>
        <v>17</v>
      </c>
      <c r="K33" s="14" t="n">
        <f aca="false">IF(AND(ISNUMBER(Inputs!$C$10),J33&lt;=Inputs!$C$10),1,0)</f>
        <v>0</v>
      </c>
      <c r="L33" s="4"/>
      <c r="M33" s="15" t="n">
        <f aca="false">IF(Calc!$D33&lt;=$N$15,Calc!$C33*(1-Inputs!$C$13),Calc!$C33)</f>
        <v>0</v>
      </c>
      <c r="N33" s="15" t="n">
        <f aca="false">MIN(M33,Inputs!$C$9*M$38)</f>
        <v>0</v>
      </c>
      <c r="O33" s="14" t="n">
        <f aca="false">RANK(N33,N$17:N$36,0)+COUNTIF(N$16:N32,N33)</f>
        <v>17</v>
      </c>
      <c r="P33" s="14" t="n">
        <f aca="false">IF(AND(ISNUMBER(Inputs!$C$10),O33&lt;=Inputs!$C$10),1,0)</f>
        <v>0</v>
      </c>
    </row>
    <row r="34" customFormat="false" ht="15" hidden="false" customHeight="false" outlineLevel="0" collapsed="false">
      <c r="A34" s="4"/>
      <c r="B34" s="12" t="str">
        <f aca="false">Calc!B34</f>
        <v/>
      </c>
      <c r="C34" s="15" t="n">
        <f aca="false">IF(Calc!$D34&lt;=$D$15,Calc!$C34*(1-Inputs!$C$13),Calc!$C34)</f>
        <v>0</v>
      </c>
      <c r="D34" s="15" t="n">
        <f aca="false">MIN(C34,Inputs!$C$9*C$38)</f>
        <v>0</v>
      </c>
      <c r="E34" s="14" t="n">
        <f aca="false">RANK(D34,D$17:D$36,0)+COUNTIF(D$16:D33,D34)</f>
        <v>18</v>
      </c>
      <c r="F34" s="14" t="n">
        <f aca="false">IF(AND(ISNUMBER(Inputs!$C$10),E34&lt;=Inputs!$C$10),1,0)</f>
        <v>0</v>
      </c>
      <c r="G34" s="4"/>
      <c r="H34" s="15" t="n">
        <f aca="false">IF(Calc!$D34&lt;=$I$15,Calc!$C34*(1-Inputs!$C$13),Calc!$C34)</f>
        <v>0</v>
      </c>
      <c r="I34" s="15" t="n">
        <f aca="false">MIN(H34,Inputs!$C$9*H$38)</f>
        <v>0</v>
      </c>
      <c r="J34" s="14" t="n">
        <f aca="false">RANK(I34,I$17:I$36,0)+COUNTIF(I$16:I33,I34)</f>
        <v>18</v>
      </c>
      <c r="K34" s="14" t="n">
        <f aca="false">IF(AND(ISNUMBER(Inputs!$C$10),J34&lt;=Inputs!$C$10),1,0)</f>
        <v>0</v>
      </c>
      <c r="L34" s="4"/>
      <c r="M34" s="15" t="n">
        <f aca="false">IF(Calc!$D34&lt;=$N$15,Calc!$C34*(1-Inputs!$C$13),Calc!$C34)</f>
        <v>0</v>
      </c>
      <c r="N34" s="15" t="n">
        <f aca="false">MIN(M34,Inputs!$C$9*M$38)</f>
        <v>0</v>
      </c>
      <c r="O34" s="14" t="n">
        <f aca="false">RANK(N34,N$17:N$36,0)+COUNTIF(N$16:N33,N34)</f>
        <v>18</v>
      </c>
      <c r="P34" s="14" t="n">
        <f aca="false">IF(AND(ISNUMBER(Inputs!$C$10),O34&lt;=Inputs!$C$10),1,0)</f>
        <v>0</v>
      </c>
    </row>
    <row r="35" customFormat="false" ht="15" hidden="false" customHeight="false" outlineLevel="0" collapsed="false">
      <c r="A35" s="4"/>
      <c r="B35" s="12" t="str">
        <f aca="false">Calc!B35</f>
        <v/>
      </c>
      <c r="C35" s="15" t="n">
        <f aca="false">IF(Calc!$D35&lt;=$D$15,Calc!$C35*(1-Inputs!$C$13),Calc!$C35)</f>
        <v>0</v>
      </c>
      <c r="D35" s="15" t="n">
        <f aca="false">MIN(C35,Inputs!$C$9*C$38)</f>
        <v>0</v>
      </c>
      <c r="E35" s="14" t="n">
        <f aca="false">RANK(D35,D$17:D$36,0)+COUNTIF(D$16:D34,D35)</f>
        <v>19</v>
      </c>
      <c r="F35" s="14" t="n">
        <f aca="false">IF(AND(ISNUMBER(Inputs!$C$10),E35&lt;=Inputs!$C$10),1,0)</f>
        <v>0</v>
      </c>
      <c r="G35" s="4"/>
      <c r="H35" s="15" t="n">
        <f aca="false">IF(Calc!$D35&lt;=$I$15,Calc!$C35*(1-Inputs!$C$13),Calc!$C35)</f>
        <v>0</v>
      </c>
      <c r="I35" s="15" t="n">
        <f aca="false">MIN(H35,Inputs!$C$9*H$38)</f>
        <v>0</v>
      </c>
      <c r="J35" s="14" t="n">
        <f aca="false">RANK(I35,I$17:I$36,0)+COUNTIF(I$16:I34,I35)</f>
        <v>19</v>
      </c>
      <c r="K35" s="14" t="n">
        <f aca="false">IF(AND(ISNUMBER(Inputs!$C$10),J35&lt;=Inputs!$C$10),1,0)</f>
        <v>0</v>
      </c>
      <c r="L35" s="4"/>
      <c r="M35" s="15" t="n">
        <f aca="false">IF(Calc!$D35&lt;=$N$15,Calc!$C35*(1-Inputs!$C$13),Calc!$C35)</f>
        <v>0</v>
      </c>
      <c r="N35" s="15" t="n">
        <f aca="false">MIN(M35,Inputs!$C$9*M$38)</f>
        <v>0</v>
      </c>
      <c r="O35" s="14" t="n">
        <f aca="false">RANK(N35,N$17:N$36,0)+COUNTIF(N$16:N34,N35)</f>
        <v>19</v>
      </c>
      <c r="P35" s="14" t="n">
        <f aca="false">IF(AND(ISNUMBER(Inputs!$C$10),O35&lt;=Inputs!$C$10),1,0)</f>
        <v>0</v>
      </c>
    </row>
    <row r="36" customFormat="false" ht="15" hidden="false" customHeight="false" outlineLevel="0" collapsed="false">
      <c r="A36" s="4"/>
      <c r="B36" s="12" t="str">
        <f aca="false">Calc!B36</f>
        <v/>
      </c>
      <c r="C36" s="15" t="n">
        <f aca="false">IF(Calc!$D36&lt;=$D$15,Calc!$C36*(1-Inputs!$C$13),Calc!$C36)</f>
        <v>0</v>
      </c>
      <c r="D36" s="15" t="n">
        <f aca="false">MIN(C36,Inputs!$C$9*C$38)</f>
        <v>0</v>
      </c>
      <c r="E36" s="14" t="n">
        <f aca="false">RANK(D36,D$17:D$36,0)+COUNTIF(D$16:D35,D36)</f>
        <v>20</v>
      </c>
      <c r="F36" s="14" t="n">
        <f aca="false">IF(AND(ISNUMBER(Inputs!$C$10),E36&lt;=Inputs!$C$10),1,0)</f>
        <v>0</v>
      </c>
      <c r="G36" s="4"/>
      <c r="H36" s="15" t="n">
        <f aca="false">IF(Calc!$D36&lt;=$I$15,Calc!$C36*(1-Inputs!$C$13),Calc!$C36)</f>
        <v>0</v>
      </c>
      <c r="I36" s="15" t="n">
        <f aca="false">MIN(H36,Inputs!$C$9*H$38)</f>
        <v>0</v>
      </c>
      <c r="J36" s="14" t="n">
        <f aca="false">RANK(I36,I$17:I$36,0)+COUNTIF(I$16:I35,I36)</f>
        <v>20</v>
      </c>
      <c r="K36" s="14" t="n">
        <f aca="false">IF(AND(ISNUMBER(Inputs!$C$10),J36&lt;=Inputs!$C$10),1,0)</f>
        <v>0</v>
      </c>
      <c r="L36" s="4"/>
      <c r="M36" s="15" t="n">
        <f aca="false">IF(Calc!$D36&lt;=$N$15,Calc!$C36*(1-Inputs!$C$13),Calc!$C36)</f>
        <v>0</v>
      </c>
      <c r="N36" s="15" t="n">
        <f aca="false">MIN(M36,Inputs!$C$9*M$38)</f>
        <v>0</v>
      </c>
      <c r="O36" s="14" t="n">
        <f aca="false">RANK(N36,N$17:N$36,0)+COUNTIF(N$16:N35,N36)</f>
        <v>20</v>
      </c>
      <c r="P36" s="14" t="n">
        <f aca="false">IF(AND(ISNUMBER(Inputs!$C$10),O36&lt;=Inputs!$C$10),1,0)</f>
        <v>0</v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customFormat="false" ht="15" hidden="false" customHeight="false" outlineLevel="0" collapsed="false">
      <c r="A38" s="4"/>
      <c r="B38" s="3" t="s">
        <v>61</v>
      </c>
      <c r="C38" s="15" t="n">
        <f aca="false">SUM(C17:C36)</f>
        <v>760</v>
      </c>
      <c r="D38" s="4"/>
      <c r="E38" s="4"/>
      <c r="F38" s="4"/>
      <c r="G38" s="4"/>
      <c r="H38" s="15" t="n">
        <f aca="false">SUM(H17:H36)</f>
        <v>610</v>
      </c>
      <c r="I38" s="4"/>
      <c r="J38" s="4"/>
      <c r="K38" s="4"/>
      <c r="L38" s="4"/>
      <c r="M38" s="15" t="n">
        <f aca="false">SUM(M17:M36)</f>
        <v>490</v>
      </c>
      <c r="N38" s="4"/>
      <c r="O38" s="4"/>
      <c r="P38" s="4"/>
    </row>
    <row r="39" customFormat="false" ht="15" hidden="false" customHeight="false" outlineLevel="0" collapsed="false">
      <c r="A39" s="4"/>
      <c r="B39" s="3" t="s">
        <v>88</v>
      </c>
      <c r="C39" s="15" t="n">
        <f aca="false">SUM(D17:D36)</f>
        <v>760</v>
      </c>
      <c r="D39" s="4"/>
      <c r="E39" s="4"/>
      <c r="F39" s="4"/>
      <c r="G39" s="4"/>
      <c r="H39" s="15" t="n">
        <f aca="false">SUM(I17:I36)</f>
        <v>610</v>
      </c>
      <c r="I39" s="4"/>
      <c r="J39" s="4"/>
      <c r="K39" s="4"/>
      <c r="L39" s="4"/>
      <c r="M39" s="15" t="n">
        <f aca="false">SUM(N17:N36)</f>
        <v>488</v>
      </c>
      <c r="N39" s="4"/>
      <c r="O39" s="4"/>
      <c r="P39" s="4"/>
    </row>
    <row r="40" customFormat="false" ht="15" hidden="false" customHeight="false" outlineLevel="0" collapsed="false">
      <c r="A40" s="4"/>
      <c r="B40" s="3" t="s">
        <v>63</v>
      </c>
      <c r="C40" s="15" t="n">
        <f aca="false">SUMPRODUCT(D17:D36,F17:F36)</f>
        <v>540</v>
      </c>
      <c r="D40" s="4"/>
      <c r="E40" s="4"/>
      <c r="F40" s="4"/>
      <c r="G40" s="4"/>
      <c r="H40" s="15" t="n">
        <f aca="false">SUMPRODUCT(I17:I36,K17:K36)</f>
        <v>460</v>
      </c>
      <c r="I40" s="4"/>
      <c r="J40" s="4"/>
      <c r="K40" s="4"/>
      <c r="L40" s="4"/>
      <c r="M40" s="15" t="n">
        <f aca="false">SUMPRODUCT(N17:N36,P17:P36)</f>
        <v>398</v>
      </c>
      <c r="N40" s="4"/>
      <c r="O40" s="4"/>
      <c r="P40" s="4"/>
    </row>
    <row r="41" customFormat="false" ht="15" hidden="false" customHeight="false" outlineLevel="0" collapsed="false">
      <c r="A41" s="4"/>
      <c r="B41" s="3" t="s">
        <v>64</v>
      </c>
      <c r="C41" s="15" t="n">
        <f aca="false">IF(AND(ISNUMBER(Inputs!$C$10),ISNUMBER(Inputs!$C$11)),MAX(0,C40-Inputs!$C$11*C39),0)</f>
        <v>84</v>
      </c>
      <c r="D41" s="4"/>
      <c r="E41" s="4"/>
      <c r="F41" s="4"/>
      <c r="G41" s="4"/>
      <c r="H41" s="15" t="n">
        <f aca="false">IF(AND(ISNUMBER(Inputs!$C$10),ISNUMBER(Inputs!$C$11)),MAX(0,H40-Inputs!$C$11*H39),0)</f>
        <v>94</v>
      </c>
      <c r="I41" s="4"/>
      <c r="J41" s="4"/>
      <c r="K41" s="4"/>
      <c r="L41" s="4"/>
      <c r="M41" s="15" t="n">
        <f aca="false">IF(AND(ISNUMBER(Inputs!$C$10),ISNUMBER(Inputs!$C$11)),MAX(0,M40-Inputs!$C$11*M39),0)</f>
        <v>105.2</v>
      </c>
      <c r="N41" s="4"/>
      <c r="O41" s="4"/>
      <c r="P41" s="4"/>
    </row>
    <row r="42" customFormat="false" ht="15" hidden="false" customHeight="false" outlineLevel="0" collapsed="false">
      <c r="A42" s="4"/>
      <c r="B42" s="2" t="s">
        <v>65</v>
      </c>
      <c r="C42" s="15" t="n">
        <f aca="false">C39-C41</f>
        <v>676</v>
      </c>
      <c r="D42" s="4"/>
      <c r="E42" s="4"/>
      <c r="F42" s="4"/>
      <c r="G42" s="4"/>
      <c r="H42" s="15" t="n">
        <f aca="false">H39-H41</f>
        <v>516</v>
      </c>
      <c r="I42" s="4"/>
      <c r="J42" s="4"/>
      <c r="K42" s="4"/>
      <c r="L42" s="4"/>
      <c r="M42" s="15" t="n">
        <f aca="false">M39-M41</f>
        <v>382.8</v>
      </c>
      <c r="N42" s="4"/>
      <c r="O42" s="4"/>
      <c r="P42" s="4"/>
    </row>
    <row r="43" customFormat="false" ht="15" hidden="false" customHeight="false" outlineLevel="0" collapsed="false">
      <c r="A43" s="4"/>
      <c r="B43" s="2" t="s">
        <v>67</v>
      </c>
      <c r="C43" s="16" t="n">
        <f aca="false">IF(C42&gt;0,Inputs!$C$5/C42,"n/a")</f>
        <v>0.22189349112426</v>
      </c>
      <c r="D43" s="4"/>
      <c r="E43" s="4"/>
      <c r="F43" s="4"/>
      <c r="G43" s="4"/>
      <c r="H43" s="16" t="n">
        <f aca="false">IF(H42&gt;0,Inputs!$C$5/H42,"n/a")</f>
        <v>0.290697674418605</v>
      </c>
      <c r="I43" s="4"/>
      <c r="J43" s="4"/>
      <c r="K43" s="4"/>
      <c r="L43" s="4"/>
      <c r="M43" s="16" t="n">
        <f aca="false">IF(M42&gt;0,Inputs!$C$5/M42,"n/a")</f>
        <v>0.391849529780564</v>
      </c>
      <c r="N43" s="4"/>
      <c r="O43" s="4"/>
      <c r="P43" s="4"/>
    </row>
    <row r="44" customFormat="false" ht="15" hidden="false" customHeight="false" outlineLevel="0" collapsed="false">
      <c r="A44" s="4"/>
      <c r="B44" s="3" t="s">
        <v>68</v>
      </c>
      <c r="C44" s="14" t="n">
        <f aca="false">COUNTIF(C17:C36,"&gt;0")</f>
        <v>10</v>
      </c>
      <c r="D44" s="4"/>
      <c r="E44" s="4"/>
      <c r="F44" s="4"/>
      <c r="G44" s="4"/>
      <c r="H44" s="14" t="n">
        <f aca="false">COUNTIF(H17:H36,"&gt;0")</f>
        <v>9</v>
      </c>
      <c r="I44" s="4"/>
      <c r="J44" s="4"/>
      <c r="K44" s="4"/>
      <c r="L44" s="4"/>
      <c r="M44" s="14" t="n">
        <f aca="false">COUNTIF(M17:M36,"&gt;0")</f>
        <v>8</v>
      </c>
      <c r="N44" s="4"/>
      <c r="O44" s="4"/>
      <c r="P44" s="4"/>
    </row>
    <row r="45" customFormat="false" ht="15" hidden="false" customHeight="false" outlineLevel="0" collapsed="false">
      <c r="A45" s="4"/>
      <c r="B45" s="3" t="s">
        <v>69</v>
      </c>
      <c r="C45" s="17" t="b">
        <f aca="false">IF(ISNUMBER(Inputs!$C$12),C44&gt;=Inputs!$C$12,TRUE())</f>
        <v>1</v>
      </c>
      <c r="D45" s="4"/>
      <c r="E45" s="4"/>
      <c r="F45" s="4"/>
      <c r="G45" s="4"/>
      <c r="H45" s="17" t="b">
        <f aca="false">IF(ISNUMBER(Inputs!$C$12),H44&gt;=Inputs!$C$12,TRUE())</f>
        <v>0</v>
      </c>
      <c r="I45" s="4"/>
      <c r="J45" s="4"/>
      <c r="K45" s="4"/>
      <c r="L45" s="4"/>
      <c r="M45" s="17" t="b">
        <f aca="false">IF(ISNUMBER(Inputs!$C$12),M44&gt;=Inputs!$C$12,TRUE())</f>
        <v>0</v>
      </c>
      <c r="N45" s="4"/>
      <c r="O45" s="4"/>
      <c r="P45" s="4"/>
    </row>
    <row r="46" customFormat="false" ht="15" hidden="false" customHeight="false" outlineLevel="0" collapsed="false">
      <c r="A46" s="4"/>
      <c r="B46" s="2" t="s">
        <v>70</v>
      </c>
      <c r="C46" s="3" t="str">
        <f aca="false">IF(C43&gt;=Inputs!$C$7,"breach",IF(OR(C43&gt;=Inputs!$C$6,NOT(C45)),"cash sweep","ok"))</f>
        <v>cash sweep</v>
      </c>
      <c r="D46" s="4"/>
      <c r="E46" s="4"/>
      <c r="F46" s="4"/>
      <c r="G46" s="4"/>
      <c r="H46" s="3" t="str">
        <f aca="false">IF(H43&gt;=Inputs!$C$7,"breach",IF(OR(H43&gt;=Inputs!$C$6,NOT(H45)),"cash sweep","ok"))</f>
        <v>breach</v>
      </c>
      <c r="I46" s="4"/>
      <c r="J46" s="4"/>
      <c r="K46" s="4"/>
      <c r="L46" s="4"/>
      <c r="M46" s="3" t="str">
        <f aca="false">IF(M43&gt;=Inputs!$C$7,"breach",IF(OR(M43&gt;=Inputs!$C$6,NOT(M45)),"cash sweep","ok"))</f>
        <v>breach</v>
      </c>
      <c r="N46" s="4"/>
      <c r="O46" s="4"/>
      <c r="P46" s="4"/>
    </row>
    <row r="47" customFormat="false" ht="15" hidden="false" customHeight="false" outlineLevel="0" collapsed="false">
      <c r="A47" s="4"/>
      <c r="B47" s="3" t="s">
        <v>89</v>
      </c>
      <c r="C47" s="16" t="n">
        <f aca="false">MAX(0,1-Inputs!$C$5/(Inputs!$C$7*C42))</f>
        <v>0.112426035502959</v>
      </c>
      <c r="D47" s="4"/>
      <c r="E47" s="4"/>
      <c r="F47" s="4"/>
      <c r="G47" s="4"/>
      <c r="H47" s="16" t="n">
        <f aca="false">MAX(0,1-Inputs!$C$5/(Inputs!$C$7*H42))</f>
        <v>0</v>
      </c>
      <c r="I47" s="4"/>
      <c r="J47" s="4"/>
      <c r="K47" s="4"/>
      <c r="L47" s="4"/>
      <c r="M47" s="16" t="n">
        <f aca="false">MAX(0,1-Inputs!$C$5/(Inputs!$C$7*M42))</f>
        <v>0</v>
      </c>
      <c r="N47" s="4"/>
      <c r="O47" s="4"/>
      <c r="P4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90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2" t="s">
        <v>91</v>
      </c>
      <c r="B3" s="4"/>
      <c r="C3" s="4"/>
      <c r="D3" s="4"/>
    </row>
    <row r="4" customFormat="false" ht="15" hidden="false" customHeight="false" outlineLevel="0" collapsed="false">
      <c r="A4" s="4"/>
      <c r="B4" s="4"/>
      <c r="C4" s="4"/>
      <c r="D4" s="4"/>
    </row>
    <row r="5" customFormat="false" ht="15" hidden="false" customHeight="false" outlineLevel="0" collapsed="false">
      <c r="A5" s="3" t="s">
        <v>92</v>
      </c>
      <c r="B5" s="17" t="b">
        <f aca="false">AND(Inputs!C8&lt;=Inputs!C6,Inputs!C6&lt;=Inputs!C7,Inputs!C7&lt;1)</f>
        <v>1</v>
      </c>
      <c r="C5" s="4"/>
      <c r="D5" s="4"/>
    </row>
    <row r="6" customFormat="false" ht="15" hidden="false" customHeight="false" outlineLevel="0" collapsed="false">
      <c r="A6" s="3" t="s">
        <v>93</v>
      </c>
      <c r="B6" s="17" t="b">
        <f aca="false">COUNTIF(Inputs!C17:C36,"&lt;0")=0</f>
        <v>1</v>
      </c>
      <c r="C6" s="4"/>
      <c r="D6" s="4"/>
    </row>
    <row r="7" customFormat="false" ht="15" hidden="false" customHeight="false" outlineLevel="0" collapsed="false">
      <c r="A7" s="3" t="s">
        <v>94</v>
      </c>
      <c r="B7" s="17" t="b">
        <f aca="false">Calc!C42&lt;=Calc!C38</f>
        <v>1</v>
      </c>
      <c r="C7" s="4"/>
      <c r="D7" s="4"/>
    </row>
    <row r="8" customFormat="false" ht="15" hidden="false" customHeight="false" outlineLevel="0" collapsed="false">
      <c r="A8" s="3" t="s">
        <v>95</v>
      </c>
      <c r="B8" s="17" t="b">
        <f aca="false">AND(SUM(Calc!F17:F36)=210,MIN(Calc!F17:F36)=1,MAX(Calc!F17:F36)=20)</f>
        <v>1</v>
      </c>
      <c r="C8" s="4"/>
      <c r="D8" s="4"/>
    </row>
    <row r="9" customFormat="false" ht="15" hidden="false" customHeight="false" outlineLevel="0" collapsed="false">
      <c r="A9" s="3" t="s">
        <v>96</v>
      </c>
      <c r="B9" s="17" t="b">
        <f aca="false">ABS(Inputs!C5/(Calc!C42*(1-Calc!C49))-Inputs!C7)&lt;0.000000001</f>
        <v>1</v>
      </c>
      <c r="C9" s="4"/>
      <c r="D9" s="4"/>
    </row>
    <row r="10" customFormat="false" ht="15" hidden="false" customHeight="false" outlineLevel="0" collapsed="false">
      <c r="A10" s="3" t="s">
        <v>97</v>
      </c>
      <c r="B10" s="17" t="b">
        <f aca="false">Calc!C41&gt;=0</f>
        <v>1</v>
      </c>
      <c r="C10" s="4"/>
      <c r="D10" s="4"/>
    </row>
    <row r="11" customFormat="false" ht="15" hidden="false" customHeight="false" outlineLevel="0" collapsed="false">
      <c r="A11" s="4"/>
      <c r="B11" s="4"/>
      <c r="C11" s="4"/>
      <c r="D11" s="4"/>
    </row>
    <row r="12" customFormat="false" ht="15" hidden="false" customHeight="false" outlineLevel="0" collapsed="false">
      <c r="A12" s="2" t="s">
        <v>98</v>
      </c>
      <c r="B12" s="2" t="str">
        <f aca="false">IF(AND(B5:B10),"ALL CHECKS PASS","CHECK FAILED")</f>
        <v>ALL CHECKS PASS</v>
      </c>
      <c r="C12" s="4"/>
      <c r="D12" s="4"/>
    </row>
    <row r="13" customFormat="false" ht="15" hidden="false" customHeight="false" outlineLevel="0" collapsed="false">
      <c r="A13" s="4"/>
      <c r="B13" s="4"/>
      <c r="C13" s="4"/>
      <c r="D13" s="4"/>
    </row>
    <row r="14" customFormat="false" ht="15" hidden="false" customHeight="false" outlineLevel="0" collapsed="false">
      <c r="A14" s="4"/>
      <c r="B14" s="4"/>
      <c r="C14" s="4"/>
      <c r="D14" s="4"/>
    </row>
    <row r="15" customFormat="false" ht="15" hidden="false" customHeight="false" outlineLevel="0" collapsed="false">
      <c r="A15" s="2" t="s">
        <v>99</v>
      </c>
      <c r="B15" s="4"/>
      <c r="C15" s="4"/>
      <c r="D15" s="4"/>
    </row>
    <row r="16" customFormat="false" ht="15" hidden="false" customHeight="false" outlineLevel="0" collapsed="false">
      <c r="A16" s="3" t="s">
        <v>100</v>
      </c>
      <c r="B16" s="4"/>
      <c r="C16" s="4"/>
      <c r="D16" s="4"/>
    </row>
    <row r="17" customFormat="false" ht="15" hidden="false" customHeight="false" outlineLevel="0" collapsed="false">
      <c r="A17" s="4"/>
      <c r="B17" s="4"/>
      <c r="C17" s="4"/>
      <c r="D17" s="4"/>
    </row>
    <row r="18" customFormat="false" ht="15" hidden="false" customHeight="false" outlineLevel="0" collapsed="false">
      <c r="A18" s="2" t="s">
        <v>101</v>
      </c>
      <c r="B18" s="2" t="s">
        <v>102</v>
      </c>
      <c r="C18" s="2" t="s">
        <v>103</v>
      </c>
      <c r="D18" s="2" t="s">
        <v>104</v>
      </c>
    </row>
    <row r="19" customFormat="false" ht="15" hidden="false" customHeight="false" outlineLevel="0" collapsed="false">
      <c r="A19" s="3" t="s">
        <v>65</v>
      </c>
      <c r="B19" s="11" t="n">
        <v>876</v>
      </c>
      <c r="C19" s="13" t="n">
        <f aca="false">Calc!C42</f>
        <v>876</v>
      </c>
      <c r="D19" s="3" t="str">
        <f aca="false">IF(ABS(C19-B19)&lt;0.000001,"match","MISMATCH")</f>
        <v>match</v>
      </c>
    </row>
    <row r="20" customFormat="false" ht="15" hidden="false" customHeight="false" outlineLevel="0" collapsed="false">
      <c r="A20" s="3" t="s">
        <v>67</v>
      </c>
      <c r="B20" s="18" t="n">
        <v>0.171232876712329</v>
      </c>
      <c r="C20" s="19" t="n">
        <f aca="false">Calc!C44</f>
        <v>0.171232876712329</v>
      </c>
      <c r="D20" s="3" t="str">
        <f aca="false">IF(ABS(C20-B20)&lt;0.000001,"match","MISMATCH")</f>
        <v>match</v>
      </c>
    </row>
    <row r="21" customFormat="false" ht="15" hidden="false" customHeight="false" outlineLevel="0" collapsed="false">
      <c r="A21" s="3" t="s">
        <v>105</v>
      </c>
      <c r="B21" s="18" t="n">
        <v>0.143835616438356</v>
      </c>
      <c r="C21" s="19" t="n">
        <f aca="false">Calc!C48</f>
        <v>0.143835616438356</v>
      </c>
      <c r="D21" s="3" t="str">
        <f aca="false">IF(ABS(C21-B21)&lt;0.000001,"match","MISMATCH")</f>
        <v>match</v>
      </c>
    </row>
    <row r="22" customFormat="false" ht="15" hidden="false" customHeight="false" outlineLevel="0" collapsed="false">
      <c r="A22" s="3" t="s">
        <v>106</v>
      </c>
      <c r="B22" s="18" t="n">
        <v>0.315068493150685</v>
      </c>
      <c r="C22" s="19" t="n">
        <f aca="false">Calc!C49</f>
        <v>0.315068493150685</v>
      </c>
      <c r="D22" s="3" t="str">
        <f aca="false">IF(ABS(C22-B22)&lt;0.000001,"match","MISMATCH")</f>
        <v>match</v>
      </c>
    </row>
    <row r="23" customFormat="false" ht="15" hidden="false" customHeight="false" outlineLevel="0" collapsed="false">
      <c r="A23" s="3" t="s">
        <v>107</v>
      </c>
      <c r="B23" s="11" t="n">
        <v>676</v>
      </c>
      <c r="C23" s="13" t="n">
        <f aca="false">'Single-name'!C42</f>
        <v>676</v>
      </c>
      <c r="D23" s="3" t="str">
        <f aca="false">IF(ABS(C23-B23)&lt;0.000001,"match","MISMATCH")</f>
        <v>match</v>
      </c>
    </row>
    <row r="24" customFormat="false" ht="15" hidden="false" customHeight="false" outlineLevel="0" collapsed="false">
      <c r="A24" s="3" t="s">
        <v>108</v>
      </c>
      <c r="B24" s="11" t="n">
        <v>516</v>
      </c>
      <c r="C24" s="13" t="n">
        <f aca="false">'Single-name'!H42</f>
        <v>516</v>
      </c>
      <c r="D24" s="3" t="str">
        <f aca="false">IF(ABS(C24-B24)&lt;0.000001,"match","MISMATCH")</f>
        <v>match</v>
      </c>
    </row>
    <row r="25" customFormat="false" ht="15" hidden="false" customHeight="false" outlineLevel="0" collapsed="false">
      <c r="A25" s="3" t="s">
        <v>109</v>
      </c>
      <c r="B25" s="11" t="n">
        <v>382.8</v>
      </c>
      <c r="C25" s="13" t="n">
        <f aca="false">'Single-name'!M42</f>
        <v>382.8</v>
      </c>
      <c r="D25" s="3" t="str">
        <f aca="false">IF(ABS(C25-B25)&lt;0.000001,"match","MISMATCH")</f>
        <v>match</v>
      </c>
    </row>
    <row r="26" customFormat="false" ht="15" hidden="false" customHeight="false" outlineLevel="0" collapsed="false">
      <c r="A26" s="3" t="s">
        <v>110</v>
      </c>
      <c r="B26" s="7" t="s">
        <v>111</v>
      </c>
      <c r="C26" s="12" t="str">
        <f aca="false">Calc!C47</f>
        <v>ok</v>
      </c>
      <c r="D26" s="3" t="str">
        <f aca="false">IF(C26=B26,"match","MISMATCH")</f>
        <v>match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2026-09-30T00:05:06Z</dcterms:created>
  <dc:creator>openpyxl</dc:creator>
  <dc:description/>
  <dc:language>en-US</dc:language>
  <cp:lastModifiedBy/>
  <dcterms:modified xsi:type="dcterms:W3CDTF">2026-09-30T00:05:06Z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